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ThisWorkbook"/>
  <mc:AlternateContent xmlns:mc="http://schemas.openxmlformats.org/markup-compatibility/2006">
    <mc:Choice Requires="x15">
      <x15ac:absPath xmlns:x15ac="http://schemas.microsoft.com/office/spreadsheetml/2010/11/ac" url="D:\d\Mag\FreeTips\Tip982\"/>
    </mc:Choice>
  </mc:AlternateContent>
  <xr:revisionPtr revIDLastSave="0" documentId="13_ncr:1_{12650E70-A5F0-4365-8C8D-49DA58B08D21}" xr6:coauthVersionLast="47" xr6:coauthVersionMax="47" xr10:uidLastSave="{00000000-0000-0000-0000-000000000000}"/>
  <bookViews>
    <workbookView xWindow="-103" yWindow="-103" windowWidth="33120" windowHeight="18120" tabRatio="801" activeTab="1" xr2:uid="{00000000-000D-0000-FFFF-FFFF00000000}"/>
  </bookViews>
  <sheets>
    <sheet name="Guide" sheetId="6" r:id="rId1"/>
    <sheet name="Params" sheetId="5" r:id="rId2"/>
    <sheet name="rAnalysis" sheetId="11" r:id="rId3"/>
    <sheet name="AppendedFiles" sheetId="1" r:id="rId4"/>
    <sheet name="dMap" sheetId="9" r:id="rId5"/>
  </sheets>
  <definedNames>
    <definedName name="afbGuide">Guide!$A$1:$B$4</definedName>
    <definedName name="afbParams">Params!$A$1:$A$4</definedName>
    <definedName name="afbSheet" localSheetId="3">AppendedFiles!$O$11:$O$14</definedName>
    <definedName name="afbSheet" localSheetId="4">dMap!$K$11:$K$14</definedName>
    <definedName name="afbSheet" localSheetId="2">rAnalysis!$K$11:$K$14</definedName>
    <definedName name="ExternalData_1" localSheetId="3" hidden="1">AppendedFiles!$O$14:$S$82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FilePrefix">Params!$B$10</definedName>
    <definedName name="kAppName">Params!$B$6</definedName>
    <definedName name="kCrosscheckMsg">Params!$B$12</definedName>
    <definedName name="kCrosscheckTolerance">Params!$B$11</definedName>
    <definedName name="kFilesPath">Params!$B$9</definedName>
    <definedName name="kNow">Params!$B$13</definedName>
    <definedName name="kOrgName">Params!$B$8</definedName>
    <definedName name="kVersion">Params!$B$7</definedName>
    <definedName name="parSheet" localSheetId="2">rAnalysis!$K$11:$Z$14</definedName>
    <definedName name="_xlnm.Print_Area" localSheetId="3">AppendedFiles!$O$11:$T$15</definedName>
    <definedName name="_xlnm.Print_Area" localSheetId="4">dMap!$K$11:$M$14</definedName>
    <definedName name="_xlnm.Print_Area" localSheetId="2">rAnalysis!$K$11:$Z$14</definedName>
    <definedName name="_xlnm.Print_Titles" localSheetId="3">AppendedFiles!$O:$O,AppendedFiles!$11:$14</definedName>
    <definedName name="_xlnm.Print_Titles" localSheetId="4">dMap!$K:$K,dMap!$11:$14</definedName>
    <definedName name="_xlnm.Print_Titles" localSheetId="0">Guide!$1:$4</definedName>
    <definedName name="_xlnm.Print_Titles" localSheetId="1">Params!$1:$4</definedName>
    <definedName name="_xlnm.Print_Titles" localSheetId="2">rAnalysis!$K:$K,rAnalysis!$11:$14</definedName>
    <definedName name="ttSheet" localSheetId="3">AppendedFiles!$O$14:$T$14</definedName>
    <definedName name="ttSheet" localSheetId="4">dMap!$K$14:$M$14</definedName>
    <definedName name="ttSheet" localSheetId="0">Guide!$A$4:$D$4</definedName>
    <definedName name="ttSheet" localSheetId="1">Params!$A$4:$B$4</definedName>
    <definedName name="ttSheet" localSheetId="2">rAnalysis!$K$14:$Z$14</definedName>
  </definedNames>
  <calcPr calcId="191029" calcMode="autoNoTable" iterateCount="1" calcOnSave="0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5" l="1" a="1"/>
  <c r="B9" i="5" s="1"/>
  <c r="B13" i="5"/>
  <c r="A2" i="5"/>
  <c r="A2" i="6"/>
  <c r="A3" i="6"/>
  <c r="C8" i="6"/>
  <c r="C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00000000-0006-0000-0000-000002000000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38FD67-8D54-4DBB-A6E2-64AADCAF7891}" keepAlive="1" name="Query - dtbMap" description="Connection to the 'dtbMap' query in the workbook." type="5" refreshedVersion="0" background="1">
    <dbPr connection="Provider=Microsoft.Mashup.OleDb.1;Data Source=$Workbook$;Location=dtbMap;Extended Properties=&quot;&quot;" command="SELECT * FROM [dtbMap]"/>
  </connection>
  <connection id="2" xr16:uid="{34EF0F4B-45A2-418F-988E-2863345F65FC}" keepAlive="1" name="Query - GetAllCompanyP&amp;Ls" description="Connection to the 'GetAllCompanyP&amp;Ls' query in the workbook." type="5" refreshedVersion="8" background="1" saveData="1">
    <dbPr connection="Provider=Microsoft.Mashup.OleDb.1;Data Source=$Workbook$;Location=GetAllCompanyP&amp;Ls;Extended Properties=&quot;&quot;" command="SELECT * FROM [GetAllCompanyP&amp;Ls]"/>
  </connection>
  <connection id="3" xr16:uid="{321E7852-5902-46B0-B5C3-7D24E2CE0281}" keepAlive="1" name="Query - GetFileData" description="Connection to the 'GetFileData' query in the workbook." type="5" refreshedVersion="8" background="1" saveData="1">
    <dbPr connection="Provider=Microsoft.Mashup.OleDb.1;Data Source=$Workbook$;Location=GetFileData;Extended Properties=&quot;&quot;" command="SELECT * FROM [GetFileData]"/>
  </connection>
  <connection id="4" xr16:uid="{BB1B1646-6BB3-46DF-A479-1FA9CF1E6520}" keepAlive="1" name="Query - GetSourcePathData" description="Connection to the 'GetSourcePathData' query in the workbook." type="5" refreshedVersion="8" background="1" saveData="1">
    <dbPr connection="Provider=Microsoft.Mashup.OleDb.1;Data Source=$Workbook$;Location=GetSourcePathData;Extended Properties=&quot;&quot;" command="SELECT * FROM [GetSourcePath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<sst xmlns="http://schemas.openxmlformats.org/spreadsheetml/2006/main" count="304" uniqueCount="83">
  <si>
    <t>Key parameters</t>
  </si>
  <si>
    <t>Now</t>
  </si>
  <si>
    <t>Organisation name</t>
  </si>
  <si>
    <t>Org name</t>
  </si>
  <si>
    <t>Procedures</t>
  </si>
  <si>
    <t>Application name</t>
  </si>
  <si>
    <t>File name</t>
  </si>
  <si>
    <t>Version</t>
  </si>
  <si>
    <t>1)</t>
  </si>
  <si>
    <t>2)</t>
  </si>
  <si>
    <t>References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</si>
  <si>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</si>
  <si>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</si>
  <si>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</si>
  <si>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</si>
  <si>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</si>
  <si>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</si>
  <si>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</si>
  <si>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</si>
  <si>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</si>
  <si>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</si>
  <si>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</si>
  <si>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</si>
  <si>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</si>
  <si>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</si>
  <si>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</si>
  <si>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EXAMPLE Text file imported from ABC system.</t>
  </si>
  <si>
    <t>Diagram of data flow</t>
  </si>
  <si>
    <t>EXAMPLE Adjustments input onto mSheet4. Other inputs on mSheet3.</t>
  </si>
  <si>
    <t>EXAMPLE Totals of various grouping of codes on mSheet3</t>
  </si>
  <si>
    <t>EXAMPLE mSheet2</t>
  </si>
  <si>
    <t>EXAMPLE mSheet4 has output to Summary.xls. oDataSheet has output for text file imported by POWA system.</t>
  </si>
  <si>
    <t>-</t>
  </si>
  <si>
    <t>EXAMPLE Jane Smith provided the rates table.</t>
  </si>
  <si>
    <t>Usage tasks</t>
  </si>
  <si>
    <t>Maintenance tasks</t>
  </si>
  <si>
    <t>Task 1</t>
  </si>
  <si>
    <t>Task</t>
  </si>
  <si>
    <t>Application filename prefix</t>
  </si>
  <si>
    <t>EXAMPLE 01-Mar-2014 PJO Included new rates for Apr-Mar year.</t>
  </si>
  <si>
    <t>Files</t>
  </si>
  <si>
    <t>List the different files and any file-naming convention.</t>
  </si>
  <si>
    <t> </t>
  </si>
  <si>
    <t>Paul</t>
  </si>
  <si>
    <t>01-Apr-2024A</t>
  </si>
  <si>
    <t>CompanyName</t>
  </si>
  <si>
    <t>Company A</t>
  </si>
  <si>
    <t>Consultancy</t>
  </si>
  <si>
    <t>Other Revenue</t>
  </si>
  <si>
    <t>Training</t>
  </si>
  <si>
    <t>Total Trading Income</t>
  </si>
  <si>
    <t>Cost of Goods Sold</t>
  </si>
  <si>
    <t>Total Cost of Sales</t>
  </si>
  <si>
    <t>Gross Profit</t>
  </si>
  <si>
    <t>Bank Fees</t>
  </si>
  <si>
    <t>Employee expenses</t>
  </si>
  <si>
    <t>General Expenses</t>
  </si>
  <si>
    <t>IT support services</t>
  </si>
  <si>
    <t>PAYE</t>
  </si>
  <si>
    <t>Printing &amp; Stationery</t>
  </si>
  <si>
    <t>Salaries Net</t>
  </si>
  <si>
    <t>Subscriptions</t>
  </si>
  <si>
    <t>Total Operating Expenses</t>
  </si>
  <si>
    <t>Net Profit</t>
  </si>
  <si>
    <t>Company B</t>
  </si>
  <si>
    <t>DataItem</t>
  </si>
  <si>
    <t>Value</t>
  </si>
  <si>
    <t>Period</t>
  </si>
  <si>
    <t>P&amp;L data</t>
  </si>
  <si>
    <t xml:space="preserve">  </t>
  </si>
  <si>
    <t xml:space="preserve"> </t>
  </si>
  <si>
    <t>Sales</t>
  </si>
  <si>
    <t>CoGS</t>
  </si>
  <si>
    <t>Expenses</t>
  </si>
  <si>
    <t>Grouping</t>
  </si>
  <si>
    <t>DataItem mapping</t>
  </si>
  <si>
    <t>Row Labels</t>
  </si>
  <si>
    <t>Grand Total</t>
  </si>
  <si>
    <t>Sum of Value</t>
  </si>
  <si>
    <t>(All)</t>
  </si>
  <si>
    <t>Column Labels</t>
  </si>
  <si>
    <t>Analysis PivotTable</t>
  </si>
  <si>
    <t>Source data files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</si>
</sst>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0_);* @_)"/>
    <numFmt numFmtId="165" formatCode="#,##0.0_);\(#,##0.0\);0.0_);* @_)"/>
    <numFmt numFmtId="166" formatCode="#,##0.00_);\(#,##0.00\);0.00_);* @_)"/>
    <numFmt numFmtId="167" formatCode="#,##0.000_);\(#,##0.000\);0.000_);* @_)"/>
    <numFmt numFmtId="168" formatCode="#,##0.0000_);\(#,##0.0000\);0.0000_);* @_)"/>
    <numFmt numFmtId="169" formatCode="0;\-0;0;* @"/>
    <numFmt numFmtId="170" formatCode="0%;\-0%;0%;* @_%"/>
    <numFmt numFmtId="171" formatCode="0.0%;\-0.0%;0.0%;* @_%"/>
    <numFmt numFmtId="172" formatCode="0.00%;\-0.00%;0.00%;* @_%"/>
    <numFmt numFmtId="173" formatCode="0.000%;\-0.000%;0.000%;* @_%"/>
    <numFmt numFmtId="174" formatCode="d\-mmm\-yyyy;[Red]&quot;Not date&quot;;&quot;-&quot;;[Red]* &quot;Not date&quot;"/>
    <numFmt numFmtId="175" formatCode="d\-mmm\-yyyy\ h:mm\ AM/PM;[Red]* &quot;Not date&quot;;&quot;-&quot;;[Red]* &quot;Not date&quot;"/>
    <numFmt numFmtId="176" formatCode="d/mm/yyyy;[Red]* &quot;Not date&quot;;&quot;-&quot;;[Red]* &quot;Not date&quot;"/>
    <numFmt numFmtId="177" formatCode="mmm\-yy;[Red]* &quot;Not date&quot;;&quot;-&quot;;[Red]* &quot;Not date&quot;"/>
    <numFmt numFmtId="178" formatCode="h:mm\ AM/PM;[Red]* &quot;Not time&quot;;\-;[Red]* &quot;Not time&quot;"/>
    <numFmt numFmtId="179" formatCode="[h]:mm;[Red]* &quot;Not time&quot;;[h]:mm;[Red]* &quot;Not time&quot;"/>
    <numFmt numFmtId="180" formatCode="d\-mmm\-yyyy;[Red]* &quot;Not date&quot;;&quot;-&quot;;[Red]* &quot;Not date&quot;"/>
    <numFmt numFmtId="181" formatCode="d\-mmm\-yyyy\ h:mm\ AM/PM;[Red]* &quot;Not time&quot;;0;[Red]* &quot;Not time&quot;"/>
    <numFmt numFmtId="182" formatCode="mm/dd/yyyy;[Red]* &quot;Not date&quot;;&quot;-&quot;;[Red]* &quot;Not date&quot;"/>
    <numFmt numFmtId="183" formatCode="d\-mmm;[Red]&quot;Not date&quot;;&quot;-&quot;;[Red]* &quot;Not date&quot;"/>
    <numFmt numFmtId="184" formatCode="#,##0,_);\(#,##0,\);0_);* @_)"/>
    <numFmt numFmtId="185" formatCode="#,##0,,_);\(#,##0,,\);0_);* @_)"/>
    <numFmt numFmtId="186" formatCode="\$* #,##0_);\$* \(#,##0\);\$* 0_);* @_)"/>
    <numFmt numFmtId="187" formatCode="\$* #,##0,_);\$* \(#,##0,\);\$* 0_);* @_)"/>
    <numFmt numFmtId="188" formatCode="\$* #,##0,,_);\$* \(#,##0,,\);\$* 0_);* @_)"/>
    <numFmt numFmtId="189" formatCode="\$* #,##0.0_);\$* \(#,##0.0\);\$* 0.0_);* @_)"/>
    <numFmt numFmtId="190" formatCode="\$* #,##0.00_);\$* \(#,##0.00\);\$* 0.00_);* @_)"/>
    <numFmt numFmtId="191" formatCode="\$* #,##0.000_);\$* \(#,##0.000\);\$* 0.000_);* @_)"/>
    <numFmt numFmtId="192" formatCode="\$* #,##0.0000_);\$* \(#,##0.0000\);\$* 0.0000_);* @_)"/>
    <numFmt numFmtId="193" formatCode="\$* #,##0.000_);\$* \(#,##0.000\)"/>
  </numFmts>
  <fonts count="31" x14ac:knownFonts="1">
    <font>
      <sz val="8"/>
      <name val="Arial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u/>
      <sz val="8"/>
      <color indexed="36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theme="10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4B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6" tint="0.59999389629810485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0">
    <xf numFmtId="0" fontId="0" fillId="0" borderId="0" applyFill="0" applyBorder="0">
      <alignment vertical="top"/>
    </xf>
    <xf numFmtId="164" fontId="4" fillId="0" borderId="0" applyFill="0" applyBorder="0">
      <alignment vertical="top"/>
    </xf>
    <xf numFmtId="184" fontId="4" fillId="0" borderId="0" applyFill="0" applyBorder="0">
      <alignment vertical="top"/>
    </xf>
    <xf numFmtId="185" fontId="4" fillId="0" borderId="0" applyFill="0" applyBorder="0">
      <alignment vertical="top"/>
    </xf>
    <xf numFmtId="165" fontId="4" fillId="0" borderId="0" applyFill="0" applyBorder="0">
      <alignment vertical="top"/>
    </xf>
    <xf numFmtId="166" fontId="4" fillId="0" borderId="0" applyFill="0" applyBorder="0">
      <alignment vertical="top"/>
    </xf>
    <xf numFmtId="167" fontId="4" fillId="0" borderId="0" applyFill="0" applyBorder="0">
      <alignment vertical="top"/>
    </xf>
    <xf numFmtId="168" fontId="4" fillId="0" borderId="0" applyFill="0" applyBorder="0">
      <alignment vertical="top"/>
    </xf>
    <xf numFmtId="183" fontId="4" fillId="0" borderId="0" applyFill="0" applyBorder="0">
      <alignment vertical="top"/>
    </xf>
    <xf numFmtId="174" fontId="4" fillId="0" borderId="0" applyFill="0" applyBorder="0">
      <alignment vertical="top"/>
    </xf>
    <xf numFmtId="175" fontId="4" fillId="0" borderId="0" applyFill="0" applyBorder="0">
      <alignment vertical="top"/>
    </xf>
    <xf numFmtId="176" fontId="4" fillId="0" borderId="0" applyFill="0" applyBorder="0">
      <alignment vertical="top"/>
    </xf>
    <xf numFmtId="182" fontId="4" fillId="0" borderId="0" applyFill="0" applyBorder="0">
      <alignment vertical="top"/>
    </xf>
    <xf numFmtId="177" fontId="4" fillId="0" borderId="0" applyFill="0" applyBorder="0">
      <alignment vertical="top"/>
    </xf>
    <xf numFmtId="177" fontId="4" fillId="0" borderId="0" applyFill="0" applyBorder="0">
      <alignment horizontal="center" vertical="top"/>
    </xf>
    <xf numFmtId="169" fontId="4" fillId="0" borderId="0" applyFill="0" applyBorder="0">
      <alignment vertical="top"/>
    </xf>
    <xf numFmtId="178" fontId="4" fillId="0" borderId="0" applyFill="0" applyBorder="0">
      <alignment vertical="top"/>
    </xf>
    <xf numFmtId="179" fontId="4" fillId="0" borderId="0" applyFill="0" applyBorder="0">
      <alignment vertical="top"/>
    </xf>
    <xf numFmtId="170" fontId="4" fillId="0" borderId="0" applyFill="0" applyBorder="0">
      <alignment vertical="top"/>
    </xf>
    <xf numFmtId="171" fontId="5" fillId="0" borderId="0" applyFill="0" applyBorder="0">
      <alignment vertical="top"/>
    </xf>
    <xf numFmtId="172" fontId="4" fillId="0" borderId="0" applyFill="0" applyBorder="0">
      <alignment vertical="top"/>
    </xf>
    <xf numFmtId="173" fontId="4" fillId="0" borderId="0" applyFill="0" applyBorder="0">
      <alignment vertical="top"/>
    </xf>
    <xf numFmtId="186" fontId="4" fillId="0" borderId="0" applyFill="0" applyBorder="0">
      <alignment vertical="top"/>
    </xf>
    <xf numFmtId="187" fontId="4" fillId="0" borderId="0" applyFill="0" applyBorder="0">
      <alignment vertical="top"/>
    </xf>
    <xf numFmtId="188" fontId="4" fillId="0" borderId="0" applyFill="0" applyBorder="0">
      <alignment vertical="top"/>
    </xf>
    <xf numFmtId="189" fontId="4" fillId="0" borderId="0" applyFill="0" applyBorder="0">
      <alignment vertical="top"/>
    </xf>
    <xf numFmtId="190" fontId="4" fillId="0" borderId="0" applyFill="0" applyBorder="0">
      <alignment vertical="top"/>
    </xf>
    <xf numFmtId="191" fontId="4" fillId="0" borderId="0" applyFill="0" applyBorder="0">
      <alignment vertical="top"/>
    </xf>
    <xf numFmtId="192" fontId="4" fillId="0" borderId="0" applyFill="0" applyBorder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27" fillId="0" borderId="0" applyFill="0" applyBorder="0">
      <alignment vertical="top"/>
    </xf>
    <xf numFmtId="0" fontId="28" fillId="0" borderId="0" applyFill="0" applyBorder="0">
      <alignment vertical="top"/>
    </xf>
    <xf numFmtId="0" fontId="29" fillId="0" borderId="0" applyFill="0" applyBorder="0">
      <alignment vertical="top"/>
    </xf>
    <xf numFmtId="0" fontId="30" fillId="0" borderId="0" applyFill="0" applyBorder="0">
      <alignment vertical="top"/>
    </xf>
    <xf numFmtId="0" fontId="7" fillId="0" borderId="0" applyFill="0" applyBorder="0">
      <alignment horizontal="left" vertical="top"/>
      <protection hidden="1"/>
    </xf>
    <xf numFmtId="0" fontId="7" fillId="0" borderId="0" applyFill="0" applyBorder="0">
      <alignment horizontal="left" vertical="top" indent="1"/>
      <protection hidden="1"/>
    </xf>
    <xf numFmtId="0" fontId="7" fillId="0" borderId="0" applyFill="0" applyBorder="0">
      <alignment horizontal="left" vertical="top" indent="2"/>
      <protection hidden="1"/>
    </xf>
    <xf numFmtId="0" fontId="7" fillId="0" borderId="0" applyFill="0" applyBorder="0">
      <alignment horizontal="left" vertical="top" indent="3"/>
      <protection hidden="1"/>
    </xf>
    <xf numFmtId="193" fontId="7" fillId="0" borderId="0" applyNumberFormat="0" applyFill="0" applyBorder="0" applyAlignment="0" applyProtection="0">
      <protection locked="0"/>
    </xf>
    <xf numFmtId="164" fontId="3" fillId="0" borderId="0" applyFill="0" applyBorder="0">
      <alignment vertical="top"/>
      <protection locked="0"/>
    </xf>
    <xf numFmtId="184" fontId="3" fillId="0" borderId="0" applyFill="0" applyBorder="0">
      <alignment vertical="top"/>
      <protection locked="0"/>
    </xf>
    <xf numFmtId="185" fontId="3" fillId="0" borderId="0" applyFill="0" applyBorder="0">
      <alignment vertical="top"/>
      <protection locked="0"/>
    </xf>
    <xf numFmtId="165" fontId="3" fillId="0" borderId="0" applyFill="0" applyBorder="0">
      <alignment vertical="top"/>
      <protection locked="0"/>
    </xf>
    <xf numFmtId="166" fontId="3" fillId="0" borderId="0" applyFill="0" applyBorder="0">
      <alignment vertical="top"/>
      <protection locked="0"/>
    </xf>
    <xf numFmtId="167" fontId="3" fillId="0" borderId="0" applyFill="0" applyBorder="0">
      <alignment vertical="top"/>
      <protection locked="0"/>
    </xf>
    <xf numFmtId="168" fontId="3" fillId="0" borderId="0" applyFill="0" applyBorder="0">
      <alignment vertical="top"/>
      <protection locked="0"/>
    </xf>
    <xf numFmtId="183" fontId="3" fillId="0" borderId="0" applyFill="0" applyBorder="0">
      <alignment vertical="top"/>
      <protection locked="0"/>
    </xf>
    <xf numFmtId="180" fontId="3" fillId="0" borderId="0" applyFill="0" applyBorder="0">
      <alignment vertical="top"/>
      <protection locked="0"/>
    </xf>
    <xf numFmtId="181" fontId="3" fillId="0" borderId="0" applyFill="0" applyBorder="0">
      <alignment vertical="top"/>
      <protection locked="0"/>
    </xf>
    <xf numFmtId="176" fontId="3" fillId="0" borderId="0" applyFill="0" applyBorder="0">
      <alignment vertical="top"/>
      <protection locked="0"/>
    </xf>
    <xf numFmtId="182" fontId="3" fillId="0" borderId="0" applyFill="0" applyBorder="0">
      <alignment vertical="top"/>
      <protection locked="0"/>
    </xf>
    <xf numFmtId="177" fontId="3" fillId="0" borderId="0" applyFill="0" applyBorder="0">
      <alignment vertical="top"/>
      <protection locked="0"/>
    </xf>
    <xf numFmtId="169" fontId="3" fillId="0" borderId="0" applyFill="0" applyBorder="0">
      <alignment vertical="top"/>
      <protection locked="0"/>
    </xf>
    <xf numFmtId="169" fontId="8" fillId="0" borderId="0" applyFill="0" applyBorder="0">
      <alignment vertical="top"/>
      <protection locked="0"/>
    </xf>
    <xf numFmtId="169" fontId="3" fillId="0" borderId="0" applyFill="0" applyBorder="0">
      <alignment vertical="top"/>
      <protection locked="0"/>
    </xf>
    <xf numFmtId="49" fontId="3" fillId="0" borderId="0" applyFill="0" applyBorder="0">
      <alignment vertical="top"/>
      <protection locked="0"/>
    </xf>
    <xf numFmtId="49" fontId="8" fillId="0" borderId="0" applyFill="0" applyBorder="0">
      <alignment vertical="top"/>
      <protection locked="0"/>
    </xf>
    <xf numFmtId="0" fontId="3" fillId="0" borderId="0" applyFill="0" applyBorder="0">
      <alignment vertical="top" wrapText="1"/>
      <protection locked="0"/>
    </xf>
    <xf numFmtId="178" fontId="3" fillId="0" borderId="0" applyFill="0" applyBorder="0">
      <alignment vertical="top"/>
      <protection locked="0"/>
    </xf>
    <xf numFmtId="179" fontId="3" fillId="0" borderId="0" applyFill="0" applyBorder="0">
      <alignment vertical="top"/>
      <protection locked="0"/>
    </xf>
    <xf numFmtId="170" fontId="3" fillId="0" borderId="0" applyFill="0" applyBorder="0">
      <alignment vertical="top"/>
      <protection locked="0"/>
    </xf>
    <xf numFmtId="171" fontId="3" fillId="0" borderId="0" applyFill="0" applyBorder="0">
      <alignment vertical="top"/>
      <protection locked="0"/>
    </xf>
    <xf numFmtId="172" fontId="3" fillId="0" borderId="0" applyFill="0" applyBorder="0">
      <alignment vertical="top"/>
      <protection locked="0"/>
    </xf>
    <xf numFmtId="173" fontId="3" fillId="0" borderId="0" applyFill="0" applyBorder="0">
      <alignment vertical="top"/>
      <protection locked="0"/>
    </xf>
    <xf numFmtId="186" fontId="3" fillId="0" borderId="0" applyFill="0" applyBorder="0">
      <alignment vertical="top"/>
      <protection locked="0"/>
    </xf>
    <xf numFmtId="187" fontId="3" fillId="0" borderId="0" applyFill="0" applyBorder="0">
      <alignment vertical="top"/>
      <protection locked="0"/>
    </xf>
    <xf numFmtId="188" fontId="3" fillId="0" borderId="0" applyFill="0" applyBorder="0">
      <alignment vertical="top"/>
      <protection locked="0"/>
    </xf>
    <xf numFmtId="189" fontId="3" fillId="0" borderId="0" applyFill="0" applyBorder="0">
      <alignment vertical="top"/>
      <protection locked="0"/>
    </xf>
    <xf numFmtId="190" fontId="3" fillId="0" borderId="0" applyFill="0" applyBorder="0">
      <alignment vertical="top"/>
      <protection locked="0"/>
    </xf>
    <xf numFmtId="191" fontId="3" fillId="0" borderId="0" applyFill="0" applyBorder="0">
      <alignment vertical="top"/>
      <protection locked="0"/>
    </xf>
    <xf numFmtId="192" fontId="3" fillId="0" borderId="0" applyFill="0" applyBorder="0">
      <alignment vertical="top"/>
      <protection locked="0"/>
    </xf>
    <xf numFmtId="49" fontId="3" fillId="0" borderId="0" applyFill="0" applyBorder="0">
      <alignment horizontal="left" vertical="top"/>
      <protection locked="0"/>
    </xf>
    <xf numFmtId="49" fontId="3" fillId="0" borderId="0" applyFill="0" applyBorder="0">
      <alignment horizontal="left" vertical="top" indent="1"/>
      <protection locked="0"/>
    </xf>
    <xf numFmtId="49" fontId="3" fillId="0" borderId="0" applyFill="0" applyBorder="0">
      <alignment horizontal="left" vertical="top" indent="2"/>
      <protection locked="0"/>
    </xf>
    <xf numFmtId="49" fontId="3" fillId="0" borderId="0" applyFill="0" applyBorder="0">
      <alignment horizontal="left" vertical="top" indent="3"/>
      <protection locked="0"/>
    </xf>
    <xf numFmtId="49" fontId="3" fillId="0" borderId="0" applyFill="0" applyBorder="0">
      <alignment horizontal="left" vertical="top" indent="4"/>
      <protection locked="0"/>
    </xf>
    <xf numFmtId="49" fontId="3" fillId="0" borderId="0" applyFill="0" applyBorder="0">
      <alignment horizontal="center"/>
      <protection locked="0"/>
    </xf>
    <xf numFmtId="49" fontId="3" fillId="0" borderId="0" applyFill="0" applyBorder="0">
      <alignment horizontal="center" wrapText="1"/>
      <protection locked="0"/>
    </xf>
    <xf numFmtId="49" fontId="4" fillId="0" borderId="0" applyFill="0" applyBorder="0">
      <alignment vertical="top"/>
    </xf>
    <xf numFmtId="0" fontId="4" fillId="0" borderId="0" applyFill="0" applyBorder="0">
      <alignment vertical="top" wrapText="1"/>
    </xf>
    <xf numFmtId="0" fontId="2" fillId="0" borderId="0" applyFill="0" applyBorder="0">
      <alignment vertical="top"/>
    </xf>
    <xf numFmtId="0" fontId="2" fillId="0" borderId="0" applyFill="0" applyBorder="0">
      <alignment horizontal="left" vertical="top" indent="1"/>
    </xf>
    <xf numFmtId="0" fontId="2" fillId="0" borderId="0" applyFill="0" applyBorder="0">
      <alignment horizontal="left" vertical="top" indent="2"/>
    </xf>
    <xf numFmtId="0" fontId="2" fillId="0" borderId="0" applyFill="0" applyBorder="0">
      <alignment horizontal="left" vertical="top" indent="3"/>
    </xf>
    <xf numFmtId="0" fontId="4" fillId="0" borderId="0" applyFill="0" applyBorder="0">
      <alignment vertical="top"/>
    </xf>
    <xf numFmtId="0" fontId="4" fillId="0" borderId="0" applyFill="0" applyBorder="0">
      <alignment horizontal="left" vertical="top" indent="1"/>
    </xf>
    <xf numFmtId="0" fontId="4" fillId="0" borderId="0" applyFill="0" applyBorder="0">
      <alignment horizontal="left" vertical="top" indent="2"/>
    </xf>
    <xf numFmtId="0" fontId="4" fillId="0" borderId="0" applyFill="0" applyBorder="0">
      <alignment horizontal="left" vertical="top" indent="3"/>
    </xf>
    <xf numFmtId="0" fontId="4" fillId="0" borderId="0" applyFill="0" applyBorder="0">
      <alignment horizontal="left" vertical="top" indent="4"/>
    </xf>
    <xf numFmtId="177" fontId="4" fillId="0" borderId="0" applyFill="0" applyBorder="0">
      <alignment horizontal="center"/>
    </xf>
    <xf numFmtId="0" fontId="4" fillId="0" borderId="0" applyFill="0" applyBorder="0">
      <alignment horizontal="center"/>
    </xf>
    <xf numFmtId="0" fontId="4" fillId="2" borderId="0" applyFill="0" applyBorder="0">
      <alignment horizontal="left"/>
    </xf>
    <xf numFmtId="0" fontId="4" fillId="0" borderId="0" applyFill="0" applyBorder="0">
      <alignment horizontal="center" wrapText="1"/>
    </xf>
    <xf numFmtId="0" fontId="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11" fillId="0" borderId="10" applyNumberFormat="0" applyFill="0" applyAlignment="0" applyProtection="0"/>
    <xf numFmtId="0" fontId="12" fillId="0" borderId="11" applyNumberFormat="0" applyFill="0" applyAlignment="0" applyProtection="0"/>
    <xf numFmtId="0" fontId="12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12" applyNumberFormat="0" applyAlignment="0" applyProtection="0"/>
    <xf numFmtId="0" fontId="17" fillId="7" borderId="13" applyNumberFormat="0" applyAlignment="0" applyProtection="0"/>
    <xf numFmtId="0" fontId="18" fillId="7" borderId="12" applyNumberFormat="0" applyAlignment="0" applyProtection="0"/>
    <xf numFmtId="0" fontId="19" fillId="0" borderId="14" applyNumberFormat="0" applyFill="0" applyAlignment="0" applyProtection="0"/>
    <xf numFmtId="0" fontId="20" fillId="8" borderId="15" applyNumberFormat="0" applyAlignment="0" applyProtection="0"/>
    <xf numFmtId="0" fontId="21" fillId="0" borderId="0" applyNumberFormat="0" applyFill="0" applyBorder="0" applyAlignment="0" applyProtection="0"/>
    <xf numFmtId="0" fontId="4" fillId="9" borderId="16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17" applyNumberFormat="0" applyFill="0" applyAlignment="0" applyProtection="0"/>
    <xf numFmtId="0" fontId="24" fillId="10" borderId="0" applyNumberFormat="0" applyBorder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2" borderId="0" applyNumberFormat="0" applyBorder="0" applyAlignment="0" applyProtection="0"/>
    <xf numFmtId="0" fontId="24" fillId="33" borderId="0" applyNumberFormat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</cellStyleXfs>
  <cellXfs count="60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3" xfId="0" applyBorder="1">
      <alignment vertical="top"/>
    </xf>
    <xf numFmtId="0" fontId="0" fillId="0" borderId="0" xfId="0" applyBorder="1">
      <alignment vertical="top"/>
    </xf>
    <xf numFmtId="0" fontId="0" fillId="0" borderId="4" xfId="0" applyBorder="1">
      <alignment vertical="top"/>
    </xf>
    <xf numFmtId="0" fontId="4" fillId="0" borderId="3" xfId="0" applyFont="1" applyBorder="1">
      <alignment vertical="top"/>
    </xf>
    <xf numFmtId="0" fontId="0" fillId="0" borderId="0" xfId="0" applyFill="1" applyBorder="1">
      <alignment vertical="top"/>
    </xf>
    <xf numFmtId="0" fontId="2" fillId="0" borderId="0" xfId="80">
      <alignment vertical="top"/>
    </xf>
    <xf numFmtId="0" fontId="4" fillId="0" borderId="0" xfId="85">
      <alignment horizontal="left" vertical="top" indent="1"/>
    </xf>
    <xf numFmtId="0" fontId="3" fillId="0" borderId="0" xfId="57">
      <alignment vertical="top" wrapText="1"/>
      <protection locked="0"/>
    </xf>
    <xf numFmtId="0" fontId="4" fillId="0" borderId="0" xfId="86">
      <alignment horizontal="left" vertical="top" indent="2"/>
    </xf>
    <xf numFmtId="0" fontId="4" fillId="0" borderId="0" xfId="85" applyBorder="1">
      <alignment horizontal="left" vertical="top" indent="1"/>
    </xf>
    <xf numFmtId="0" fontId="4" fillId="0" borderId="0" xfId="86" applyBorder="1">
      <alignment horizontal="left" vertical="top" indent="2"/>
    </xf>
    <xf numFmtId="49" fontId="3" fillId="0" borderId="0" xfId="71">
      <alignment horizontal="left" vertical="top"/>
      <protection locked="0"/>
    </xf>
    <xf numFmtId="0" fontId="2" fillId="0" borderId="0" xfId="80" applyBorder="1">
      <alignment vertical="top"/>
    </xf>
    <xf numFmtId="0" fontId="2" fillId="0" borderId="0" xfId="81" applyBorder="1">
      <alignment horizontal="left" vertical="top" indent="1"/>
    </xf>
    <xf numFmtId="168" fontId="3" fillId="0" borderId="1" xfId="45" applyBorder="1">
      <alignment vertical="top"/>
      <protection locked="0"/>
    </xf>
    <xf numFmtId="0" fontId="2" fillId="0" borderId="0" xfId="81">
      <alignment horizontal="left" vertical="top" indent="1"/>
    </xf>
    <xf numFmtId="0" fontId="2" fillId="0" borderId="0" xfId="82" applyBorder="1">
      <alignment horizontal="left" vertical="top" indent="2"/>
    </xf>
    <xf numFmtId="0" fontId="28" fillId="34" borderId="5" xfId="31" applyFill="1" applyBorder="1">
      <alignment vertical="top"/>
    </xf>
    <xf numFmtId="0" fontId="0" fillId="34" borderId="7" xfId="0" applyFill="1" applyBorder="1">
      <alignment vertical="top"/>
    </xf>
    <xf numFmtId="0" fontId="28" fillId="34" borderId="3" xfId="31" applyFill="1" applyBorder="1">
      <alignment vertical="top"/>
    </xf>
    <xf numFmtId="0" fontId="0" fillId="34" borderId="1" xfId="0" applyFill="1" applyBorder="1">
      <alignment vertical="top"/>
    </xf>
    <xf numFmtId="0" fontId="2" fillId="34" borderId="3" xfId="0" applyFont="1" applyFill="1" applyBorder="1">
      <alignment vertical="top"/>
    </xf>
    <xf numFmtId="0" fontId="2" fillId="34" borderId="4" xfId="0" applyFont="1" applyFill="1" applyBorder="1">
      <alignment vertical="top"/>
    </xf>
    <xf numFmtId="0" fontId="0" fillId="34" borderId="2" xfId="0" applyFill="1" applyBorder="1">
      <alignment vertical="top"/>
    </xf>
    <xf numFmtId="0" fontId="0" fillId="34" borderId="6" xfId="0" applyFill="1" applyBorder="1">
      <alignment vertical="top"/>
    </xf>
    <xf numFmtId="0" fontId="0" fillId="34" borderId="0" xfId="0" applyFill="1" applyBorder="1">
      <alignment vertical="top"/>
    </xf>
    <xf numFmtId="0" fontId="4" fillId="34" borderId="3" xfId="91" applyFill="1" applyBorder="1">
      <alignment horizontal="left"/>
    </xf>
    <xf numFmtId="0" fontId="0" fillId="34" borderId="4" xfId="0" applyFill="1" applyBorder="1">
      <alignment vertical="top"/>
    </xf>
    <xf numFmtId="0" fontId="0" fillId="34" borderId="8" xfId="0" applyFill="1" applyBorder="1">
      <alignment vertical="top"/>
    </xf>
    <xf numFmtId="0" fontId="28" fillId="35" borderId="5" xfId="31" applyFill="1" applyBorder="1">
      <alignment vertical="top"/>
    </xf>
    <xf numFmtId="0" fontId="0" fillId="35" borderId="6" xfId="0" applyFill="1" applyBorder="1">
      <alignment vertical="top"/>
    </xf>
    <xf numFmtId="0" fontId="4" fillId="35" borderId="6" xfId="91" applyFill="1" applyBorder="1">
      <alignment horizontal="left"/>
    </xf>
    <xf numFmtId="0" fontId="0" fillId="35" borderId="7" xfId="0" applyFill="1" applyBorder="1">
      <alignment vertical="top"/>
    </xf>
    <xf numFmtId="0" fontId="28" fillId="35" borderId="3" xfId="31" applyFill="1" applyBorder="1">
      <alignment vertical="top"/>
    </xf>
    <xf numFmtId="0" fontId="0" fillId="35" borderId="0" xfId="0" applyFill="1" applyBorder="1">
      <alignment vertical="top"/>
    </xf>
    <xf numFmtId="0" fontId="4" fillId="35" borderId="0" xfId="91" applyFill="1" applyBorder="1">
      <alignment horizontal="left"/>
    </xf>
    <xf numFmtId="0" fontId="0" fillId="35" borderId="1" xfId="0" applyFill="1" applyBorder="1">
      <alignment vertical="top"/>
    </xf>
    <xf numFmtId="0" fontId="29" fillId="35" borderId="3" xfId="32" applyFill="1" applyBorder="1">
      <alignment vertical="top"/>
    </xf>
    <xf numFmtId="0" fontId="4" fillId="35" borderId="8" xfId="92" applyFill="1" applyBorder="1">
      <alignment horizontal="center" wrapText="1"/>
    </xf>
    <xf numFmtId="0" fontId="0" fillId="35" borderId="2" xfId="92" applyFont="1" applyFill="1" applyBorder="1">
      <alignment horizontal="center" wrapText="1"/>
    </xf>
    <xf numFmtId="0" fontId="0" fillId="35" borderId="4" xfId="92" applyFont="1" applyFill="1" applyBorder="1">
      <alignment horizontal="center" wrapText="1"/>
    </xf>
    <xf numFmtId="177" fontId="4" fillId="0" borderId="0" xfId="13">
      <alignment vertical="top"/>
    </xf>
    <xf numFmtId="164" fontId="4" fillId="0" borderId="0" xfId="1">
      <alignment vertical="top"/>
    </xf>
    <xf numFmtId="0" fontId="0" fillId="36" borderId="0" xfId="0" applyFill="1">
      <alignment vertical="top"/>
    </xf>
    <xf numFmtId="0" fontId="28" fillId="36" borderId="5" xfId="31" applyFill="1" applyBorder="1">
      <alignment vertical="top"/>
    </xf>
    <xf numFmtId="0" fontId="0" fillId="36" borderId="6" xfId="0" applyFill="1" applyBorder="1">
      <alignment vertical="top"/>
    </xf>
    <xf numFmtId="0" fontId="0" fillId="36" borderId="7" xfId="0" applyFill="1" applyBorder="1">
      <alignment vertical="top"/>
    </xf>
    <xf numFmtId="0" fontId="28" fillId="36" borderId="3" xfId="31" applyFill="1" applyBorder="1">
      <alignment vertical="top"/>
    </xf>
    <xf numFmtId="0" fontId="0" fillId="36" borderId="0" xfId="0" applyFill="1" applyBorder="1">
      <alignment vertical="top"/>
    </xf>
    <xf numFmtId="0" fontId="0" fillId="36" borderId="1" xfId="0" applyFill="1" applyBorder="1">
      <alignment vertical="top"/>
    </xf>
    <xf numFmtId="0" fontId="29" fillId="36" borderId="3" xfId="32" applyFill="1" applyBorder="1">
      <alignment vertical="top"/>
    </xf>
    <xf numFmtId="0" fontId="0" fillId="36" borderId="4" xfId="92" applyFont="1" applyFill="1" applyBorder="1">
      <alignment horizontal="center" wrapText="1"/>
    </xf>
    <xf numFmtId="0" fontId="4" fillId="36" borderId="8" xfId="92" applyFill="1" applyBorder="1">
      <alignment horizontal="center" wrapText="1"/>
    </xf>
    <xf numFmtId="0" fontId="0" fillId="36" borderId="2" xfId="92" applyFont="1" applyFill="1" applyBorder="1">
      <alignment horizontal="center" wrapText="1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37" fontId="0" fillId="0" borderId="0" xfId="0" applyNumberFormat="1">
      <alignment vertical="top"/>
    </xf>
  </cellXfs>
  <cellStyles count="140">
    <cellStyle name="20% - Accent1" xfId="111" builtinId="30" hidden="1"/>
    <cellStyle name="20% - Accent2" xfId="115" builtinId="34" hidden="1"/>
    <cellStyle name="20% - Accent3" xfId="119" builtinId="38" hidden="1"/>
    <cellStyle name="20% - Accent4" xfId="123" builtinId="42" hidden="1"/>
    <cellStyle name="20% - Accent5" xfId="127" builtinId="46" hidden="1"/>
    <cellStyle name="20% - Accent6" xfId="131" builtinId="50" hidden="1"/>
    <cellStyle name="40% - Accent1" xfId="112" builtinId="31" hidden="1"/>
    <cellStyle name="40% - Accent2" xfId="116" builtinId="35" hidden="1"/>
    <cellStyle name="40% - Accent3" xfId="120" builtinId="39" hidden="1"/>
    <cellStyle name="40% - Accent4" xfId="124" builtinId="43" hidden="1"/>
    <cellStyle name="40% - Accent5" xfId="128" builtinId="47" hidden="1"/>
    <cellStyle name="40% - Accent6" xfId="132" builtinId="51" hidden="1"/>
    <cellStyle name="60% - Accent1" xfId="113" builtinId="32" hidden="1"/>
    <cellStyle name="60% - Accent2" xfId="117" builtinId="36" hidden="1"/>
    <cellStyle name="60% - Accent3" xfId="121" builtinId="40" hidden="1"/>
    <cellStyle name="60% - Accent4" xfId="125" builtinId="44" hidden="1"/>
    <cellStyle name="60% - Accent5" xfId="129" builtinId="48" hidden="1"/>
    <cellStyle name="60% - Accent6" xfId="133" builtinId="52" hidden="1"/>
    <cellStyle name="Accent1" xfId="110" builtinId="29" hidden="1"/>
    <cellStyle name="Accent2" xfId="114" builtinId="33" hidden="1"/>
    <cellStyle name="Accent3" xfId="118" builtinId="37" hidden="1"/>
    <cellStyle name="Accent4" xfId="122" builtinId="41" hidden="1"/>
    <cellStyle name="Accent5" xfId="126" builtinId="45" hidden="1"/>
    <cellStyle name="Accent6" xfId="130" builtinId="49" hidden="1"/>
    <cellStyle name="Bad" xfId="99" builtinId="27" hidden="1"/>
    <cellStyle name="Calculation" xfId="103" builtinId="22" hidden="1"/>
    <cellStyle name="cc0 -CalComma" xfId="1" xr:uid="{00000000-0005-0000-0000-00001A000000}"/>
    <cellStyle name="cc0k -CalCommaThousand" xfId="2" xr:uid="{00000000-0005-0000-0000-00001B000000}"/>
    <cellStyle name="cc0m -CalCommaMillion" xfId="3" xr:uid="{00000000-0005-0000-0000-00001C000000}"/>
    <cellStyle name="cc1 -CalComma" xfId="4" xr:uid="{00000000-0005-0000-0000-00001D000000}"/>
    <cellStyle name="cc2 -CalComma" xfId="5" xr:uid="{00000000-0005-0000-0000-00001E000000}"/>
    <cellStyle name="cc3 -CalComma" xfId="6" xr:uid="{00000000-0005-0000-0000-00001F000000}"/>
    <cellStyle name="cc4 -CalComma" xfId="7" xr:uid="{00000000-0005-0000-0000-000020000000}"/>
    <cellStyle name="cdDMM -CalDate" xfId="8" xr:uid="{00000000-0005-0000-0000-000021000000}"/>
    <cellStyle name="cdDMMY -CalDate" xfId="9" xr:uid="{00000000-0005-0000-0000-000022000000}"/>
    <cellStyle name="cdDMMYHM -CalDateTime" xfId="10" xr:uid="{00000000-0005-0000-0000-000023000000}"/>
    <cellStyle name="cdDMY -CalDate" xfId="11" xr:uid="{00000000-0005-0000-0000-000024000000}"/>
    <cellStyle name="cdMDY -CalDate" xfId="12" xr:uid="{00000000-0005-0000-0000-000025000000}"/>
    <cellStyle name="cdMMY -CalDate" xfId="13" xr:uid="{00000000-0005-0000-0000-000026000000}"/>
    <cellStyle name="cdMMYc-CalDateC" xfId="14" xr:uid="{00000000-0005-0000-0000-000027000000}"/>
    <cellStyle name="cf0 -CalFixed" xfId="15" xr:uid="{00000000-0005-0000-0000-000028000000}"/>
    <cellStyle name="Check Cell" xfId="105" builtinId="23" hidden="1"/>
    <cellStyle name="cmHM  -CalTime" xfId="16" xr:uid="{00000000-0005-0000-0000-00002A000000}"/>
    <cellStyle name="cmHM24+ -CalTime" xfId="17" xr:uid="{00000000-0005-0000-0000-00002B000000}"/>
    <cellStyle name="Comma" xfId="134" builtinId="3" hidden="1"/>
    <cellStyle name="Comma [0]" xfId="135" builtinId="6" hidden="1"/>
    <cellStyle name="cp0 -CalPercent" xfId="18" xr:uid="{00000000-0005-0000-0000-00002E000000}"/>
    <cellStyle name="cp1 -CalPercent" xfId="19" xr:uid="{00000000-0005-0000-0000-00002F000000}"/>
    <cellStyle name="cp2 -CalPercent" xfId="20" xr:uid="{00000000-0005-0000-0000-000030000000}"/>
    <cellStyle name="cp3 -CalPercent" xfId="21" xr:uid="{00000000-0005-0000-0000-000031000000}"/>
    <cellStyle name="cr0 -CalCurr" xfId="22" xr:uid="{00000000-0005-0000-0000-000032000000}"/>
    <cellStyle name="cr0k -CalCurrThousand" xfId="23" xr:uid="{00000000-0005-0000-0000-000033000000}"/>
    <cellStyle name="cr0m -CalCurrMillion" xfId="24" xr:uid="{00000000-0005-0000-0000-000034000000}"/>
    <cellStyle name="cr1 -CalCurr" xfId="25" xr:uid="{00000000-0005-0000-0000-000035000000}"/>
    <cellStyle name="cr2 -CalCurr" xfId="26" xr:uid="{00000000-0005-0000-0000-000036000000}"/>
    <cellStyle name="cr3 -CalCurr" xfId="27" xr:uid="{00000000-0005-0000-0000-000037000000}"/>
    <cellStyle name="cr4 -CalCurr" xfId="28" xr:uid="{00000000-0005-0000-0000-000038000000}"/>
    <cellStyle name="Currency" xfId="136" builtinId="4" hidden="1"/>
    <cellStyle name="Currency [0]" xfId="137" builtinId="7" hidden="1"/>
    <cellStyle name="Explanatory Text" xfId="108" builtinId="53" hidden="1"/>
    <cellStyle name="Followed Hyperlink" xfId="29" builtinId="9" hidden="1"/>
    <cellStyle name="Good" xfId="98" builtinId="26" hidden="1"/>
    <cellStyle name="h0 -Heading" xfId="30" xr:uid="{00000000-0005-0000-0000-00003E000000}"/>
    <cellStyle name="h1 -Heading" xfId="31" xr:uid="{00000000-0005-0000-0000-00003F000000}"/>
    <cellStyle name="h2 -Heading" xfId="32" xr:uid="{00000000-0005-0000-0000-000040000000}"/>
    <cellStyle name="h3 -Heading" xfId="33" xr:uid="{00000000-0005-0000-0000-000041000000}"/>
    <cellStyle name="Heading 1" xfId="94" builtinId="16" hidden="1"/>
    <cellStyle name="Heading 2" xfId="95" builtinId="17" hidden="1"/>
    <cellStyle name="Heading 3" xfId="96" builtinId="18" hidden="1"/>
    <cellStyle name="Heading 4" xfId="97" builtinId="19" hidden="1"/>
    <cellStyle name="hp0 -Hyperlink" xfId="34" xr:uid="{00000000-0005-0000-0000-000046000000}"/>
    <cellStyle name="hp1 -Hyperlink" xfId="35" xr:uid="{00000000-0005-0000-0000-000047000000}"/>
    <cellStyle name="hp2 -Hyperlink" xfId="36" xr:uid="{00000000-0005-0000-0000-000048000000}"/>
    <cellStyle name="hp3 -Hyperlink" xfId="37" xr:uid="{00000000-0005-0000-0000-000049000000}"/>
    <cellStyle name="Hyperlink" xfId="38" builtinId="8" hidden="1"/>
    <cellStyle name="Hyperlink" xfId="139" builtinId="8" hidden="1"/>
    <cellStyle name="ic0 -InpComma" xfId="39" xr:uid="{00000000-0005-0000-0000-00004C000000}"/>
    <cellStyle name="ic0k -InpCommaThousand" xfId="40" xr:uid="{00000000-0005-0000-0000-00004D000000}"/>
    <cellStyle name="ic0m -InpCommaMillion" xfId="41" xr:uid="{00000000-0005-0000-0000-00004E000000}"/>
    <cellStyle name="ic1 -InpComma" xfId="42" xr:uid="{00000000-0005-0000-0000-00004F000000}"/>
    <cellStyle name="ic2 -InpComma" xfId="43" xr:uid="{00000000-0005-0000-0000-000050000000}"/>
    <cellStyle name="ic3 -InpComma" xfId="44" xr:uid="{00000000-0005-0000-0000-000051000000}"/>
    <cellStyle name="ic4 -InpComma" xfId="45" xr:uid="{00000000-0005-0000-0000-000052000000}"/>
    <cellStyle name="idDMM -InpDate" xfId="46" xr:uid="{00000000-0005-0000-0000-000053000000}"/>
    <cellStyle name="idDMMY -InpDate" xfId="47" xr:uid="{00000000-0005-0000-0000-000054000000}"/>
    <cellStyle name="idDMMYHM -InpDateTime" xfId="48" xr:uid="{00000000-0005-0000-0000-000055000000}"/>
    <cellStyle name="idDMY -InpDate" xfId="49" xr:uid="{00000000-0005-0000-0000-000056000000}"/>
    <cellStyle name="idMDY -InpDate" xfId="50" xr:uid="{00000000-0005-0000-0000-000057000000}"/>
    <cellStyle name="idMMY -InpDate" xfId="51" xr:uid="{00000000-0005-0000-0000-000058000000}"/>
    <cellStyle name="if0 -InpFixed" xfId="52" xr:uid="{00000000-0005-0000-0000-000059000000}"/>
    <cellStyle name="if0b-InpFixedB" xfId="53" xr:uid="{00000000-0005-0000-0000-00005A000000}"/>
    <cellStyle name="if0-InpFixed" xfId="54" xr:uid="{00000000-0005-0000-0000-00005B000000}"/>
    <cellStyle name="iln -InpTableTextNoWrap" xfId="55" xr:uid="{00000000-0005-0000-0000-00005C000000}"/>
    <cellStyle name="ilnb-InpTableTextNoWrapB" xfId="56" xr:uid="{00000000-0005-0000-0000-00005D000000}"/>
    <cellStyle name="ilw -InpTableTextWrap" xfId="57" xr:uid="{00000000-0005-0000-0000-00005E000000}"/>
    <cellStyle name="imHM  -InpTime" xfId="58" xr:uid="{00000000-0005-0000-0000-00005F000000}"/>
    <cellStyle name="imHM24+ -InpTime" xfId="59" xr:uid="{00000000-0005-0000-0000-000060000000}"/>
    <cellStyle name="Input" xfId="101" builtinId="20" hidden="1"/>
    <cellStyle name="ip0 -InpPercent" xfId="60" xr:uid="{00000000-0005-0000-0000-000062000000}"/>
    <cellStyle name="ip1 -InpPercent" xfId="61" xr:uid="{00000000-0005-0000-0000-000063000000}"/>
    <cellStyle name="ip2 -InpPercent" xfId="62" xr:uid="{00000000-0005-0000-0000-000064000000}"/>
    <cellStyle name="ip3 -InpPercent" xfId="63" xr:uid="{00000000-0005-0000-0000-000065000000}"/>
    <cellStyle name="ir0 -InpCurr" xfId="64" xr:uid="{00000000-0005-0000-0000-000066000000}"/>
    <cellStyle name="ir0k -InpCurrThousand" xfId="65" xr:uid="{00000000-0005-0000-0000-000067000000}"/>
    <cellStyle name="ir0m -InpCurrMillion" xfId="66" xr:uid="{00000000-0005-0000-0000-000068000000}"/>
    <cellStyle name="ir1 -InpCurr" xfId="67" xr:uid="{00000000-0005-0000-0000-000069000000}"/>
    <cellStyle name="ir2 -InpCurr" xfId="68" xr:uid="{00000000-0005-0000-0000-00006A000000}"/>
    <cellStyle name="ir3 -InpCurr" xfId="69" xr:uid="{00000000-0005-0000-0000-00006B000000}"/>
    <cellStyle name="ir4 -InpCurr" xfId="70" xr:uid="{00000000-0005-0000-0000-00006C000000}"/>
    <cellStyle name="is0 -InpSideText" xfId="71" xr:uid="{00000000-0005-0000-0000-00006D000000}"/>
    <cellStyle name="is1 -InpSideText" xfId="72" xr:uid="{00000000-0005-0000-0000-00006E000000}"/>
    <cellStyle name="is2 -InpSideText" xfId="73" xr:uid="{00000000-0005-0000-0000-00006F000000}"/>
    <cellStyle name="is3 -InpSideText" xfId="74" xr:uid="{00000000-0005-0000-0000-000070000000}"/>
    <cellStyle name="is4 -InpSideText" xfId="75" xr:uid="{00000000-0005-0000-0000-000071000000}"/>
    <cellStyle name="itn -InpTopTextNoWrap" xfId="76" xr:uid="{00000000-0005-0000-0000-000072000000}"/>
    <cellStyle name="itw -InpTopTextWrap" xfId="77" xr:uid="{00000000-0005-0000-0000-000073000000}"/>
    <cellStyle name="Linked Cell" xfId="104" builtinId="24" hidden="1"/>
    <cellStyle name="ltn -TableTextNoWrap" xfId="78" xr:uid="{00000000-0005-0000-0000-000075000000}"/>
    <cellStyle name="ltw -TableTextWrap" xfId="79" xr:uid="{00000000-0005-0000-0000-000076000000}"/>
    <cellStyle name="Neutral" xfId="100" builtinId="28" hidden="1"/>
    <cellStyle name="Normal" xfId="0" builtinId="0" customBuiltin="1"/>
    <cellStyle name="Note" xfId="107" builtinId="10" hidden="1"/>
    <cellStyle name="Output" xfId="102" builtinId="21" hidden="1"/>
    <cellStyle name="Percent" xfId="138" builtinId="5" hidden="1"/>
    <cellStyle name="sh0 -SideHeading" xfId="80" xr:uid="{00000000-0005-0000-0000-00007C000000}"/>
    <cellStyle name="sh1 -SideHeading" xfId="81" xr:uid="{00000000-0005-0000-0000-00007D000000}"/>
    <cellStyle name="sh2 -SideHeading" xfId="82" xr:uid="{00000000-0005-0000-0000-00007E000000}"/>
    <cellStyle name="sh3 -SideHeading" xfId="83" xr:uid="{00000000-0005-0000-0000-00007F000000}"/>
    <cellStyle name="st0 -SideText" xfId="84" xr:uid="{00000000-0005-0000-0000-000080000000}"/>
    <cellStyle name="st1 -SideText" xfId="85" xr:uid="{00000000-0005-0000-0000-000081000000}"/>
    <cellStyle name="st2 -SideText" xfId="86" xr:uid="{00000000-0005-0000-0000-000082000000}"/>
    <cellStyle name="st3 -SideText" xfId="87" xr:uid="{00000000-0005-0000-0000-000083000000}"/>
    <cellStyle name="st4 -SideText" xfId="88" xr:uid="{00000000-0005-0000-0000-000084000000}"/>
    <cellStyle name="tdMMYc-TopDateC" xfId="89" xr:uid="{00000000-0005-0000-0000-000085000000}"/>
    <cellStyle name="Title" xfId="93" builtinId="15" hidden="1"/>
    <cellStyle name="Total" xfId="109" builtinId="25" hidden="1"/>
    <cellStyle name="ttn -TopTextNoWrap" xfId="90" xr:uid="{00000000-0005-0000-0000-000088000000}"/>
    <cellStyle name="ttnl -TopTextNoWrapL" xfId="91" xr:uid="{00000000-0005-0000-0000-000089000000}"/>
    <cellStyle name="ttw -TopTextWrap" xfId="92" xr:uid="{00000000-0005-0000-0000-00008A000000}"/>
    <cellStyle name="Warning Text" xfId="106" builtinId="11" hidden="1"/>
  </cellStyles>
  <dxfs count="38">
    <dxf>
      <border outline="0">
        <bottom style="medium">
          <color indexed="64"/>
        </bottom>
      </border>
    </dxf>
    <dxf>
      <numFmt numFmtId="0" formatCode="General"/>
    </dxf>
    <dxf>
      <fill>
        <patternFill patternType="solid">
          <fgColor indexed="64"/>
          <bgColor theme="6" tint="0.59999389629810485"/>
        </patternFill>
      </fill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rgb="FFFFFFFF"/>
        </patternFill>
      </fill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</dxfs>
  <tableStyles count="7" defaultTableStyle="ESPTable" defaultPivotStyle="ESPPivotTable">
    <tableStyle name="ESPPivotTable" table="0" count="11" xr9:uid="{00000000-0011-0000-FFFF-FFFF00000000}">
      <tableStyleElement type="wholeTable" dxfId="37"/>
      <tableStyleElement type="headerRow" dxfId="36"/>
      <tableStyleElement type="totalRow" dxfId="35"/>
      <tableStyleElement type="firstRowStripe" dxfId="34"/>
      <tableStyleElement type="firstColumnStripe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ESPPivotTable 2" table="0" count="11" xr9:uid="{00000000-0011-0000-FFFF-FFFF01000000}">
      <tableStyleElement type="wholeTable" dxfId="26"/>
      <tableStyleElement type="headerRow" dxfId="25"/>
      <tableStyleElement type="totalRow" dxfId="24"/>
      <tableStyleElement type="firstRowStripe" dxfId="23"/>
      <tableStyleElement type="firstColumnStripe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  <tableStyle name="ESPSlicer" pivot="0" table="0" count="10" xr9:uid="{00000000-0011-0000-FFFF-FFFF02000000}">
      <tableStyleElement type="wholeTable" dxfId="15"/>
      <tableStyleElement type="headerRow" dxfId="14"/>
    </tableStyle>
    <tableStyle name="ESPSlicer 2" pivot="0" table="0" count="10" xr9:uid="{00000000-0011-0000-FFFF-FFFF03000000}">
      <tableStyleElement type="wholeTable" dxfId="13"/>
      <tableStyleElement type="headerRow" dxfId="12"/>
    </tableStyle>
    <tableStyle name="ESPTable" pivot="0" count="5" xr9:uid="{00000000-0011-0000-FFFF-FFFF04000000}">
      <tableStyleElement type="wholeTable" dxfId="11"/>
      <tableStyleElement type="headerRow" dxfId="10"/>
      <tableStyleElement type="totalRow" dxfId="9"/>
      <tableStyleElement type="firstRowStripe" dxfId="8"/>
      <tableStyleElement type="firstColumnStripe" dxfId="7"/>
    </tableStyle>
    <tableStyle name="ESPTimeLine" pivot="0" table="0" count="9" xr9:uid="{00000000-0011-0000-FFFF-FFFF05000000}">
      <tableStyleElement type="wholeTable" dxfId="6"/>
      <tableStyleElement type="headerRow" dxfId="5"/>
    </tableStyle>
    <tableStyle name="ESPTimeLine 2" pivot="0" table="0" count="9" xr9:uid="{00000000-0011-0000-FFFF-FFFF06000000}">
      <tableStyleElement type="wholeTable" dxfId="4"/>
      <tableStyleElement type="headerRow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  <mruColors>
      <color rgb="FFFFFFFF"/>
      <color rgb="FFF2F2F2"/>
      <color rgb="FFD8E4BC"/>
      <color rgb="FFEBF1DE"/>
      <color rgb="FFC4D79B"/>
      <color rgb="FF818080"/>
      <color rgb="FFDA9694"/>
      <color rgb="FFC4D69B"/>
      <color rgb="FFC0BFBF"/>
      <color rgb="FFD9E4BC"/>
    </mruColors>
  </colors>
  <extLst>
    <ext xmlns:x14="http://schemas.microsoft.com/office/spreadsheetml/2009/9/main" uri="{46F421CA-312F-682f-3DD2-61675219B42D}">
      <x14:dxfs count="16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PSlicer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PTimeLine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1533525</xdr:colOff>
      <xdr:row>24</xdr:row>
      <xdr:rowOff>0</xdr:rowOff>
    </xdr:from>
    <xdr:to>
      <xdr:col>2</xdr:col>
      <xdr:colOff>2514600</xdr:colOff>
      <xdr:row>26</xdr:row>
      <xdr:rowOff>114300</xdr:rowOff>
    </xdr:to>
    <xdr:sp macro="" textlink="">
      <xdr:nvSpPr>
        <xdr:cNvPr id="5152" name="ESPFlowT5">
          <a:extLst>
            <a:ext uri="{FF2B5EF4-FFF2-40B4-BE49-F238E27FC236}">
              <a16:creationId xmlns:a16="http://schemas.microsoft.com/office/drawing/2014/main" id="{00000000-0008-0000-0000-000020140000}"/>
            </a:ext>
          </a:extLst>
        </xdr:cNvPr>
        <xdr:cNvSpPr txBox="1">
          <a:spLocks noChangeArrowheads="1"/>
        </xdr:cNvSpPr>
      </xdr:nvSpPr>
      <xdr:spPr bwMode="auto">
        <a:xfrm>
          <a:off x="2838450" y="4267200"/>
          <a:ext cx="981075" cy="400050"/>
        </a:xfrm>
        <a:prstGeom prst="rect">
          <a:avLst/>
        </a:prstGeom>
        <a:solidFill>
          <a:srgbClr val="00B05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238125</xdr:colOff>
      <xdr:row>24</xdr:row>
      <xdr:rowOff>0</xdr:rowOff>
    </xdr:from>
    <xdr:to>
      <xdr:col>2</xdr:col>
      <xdr:colOff>1219200</xdr:colOff>
      <xdr:row>26</xdr:row>
      <xdr:rowOff>114300</xdr:rowOff>
    </xdr:to>
    <xdr:sp macro="" textlink="">
      <xdr:nvSpPr>
        <xdr:cNvPr id="5153" name="ESPFlowT3">
          <a:extLst>
            <a:ext uri="{FF2B5EF4-FFF2-40B4-BE49-F238E27FC236}">
              <a16:creationId xmlns:a16="http://schemas.microsoft.com/office/drawing/2014/main" id="{00000000-0008-0000-0000-000021140000}"/>
            </a:ext>
          </a:extLst>
        </xdr:cNvPr>
        <xdr:cNvSpPr txBox="1">
          <a:spLocks noChangeArrowheads="1"/>
        </xdr:cNvSpPr>
      </xdr:nvSpPr>
      <xdr:spPr bwMode="auto">
        <a:xfrm>
          <a:off x="1543050" y="4267200"/>
          <a:ext cx="981075" cy="400050"/>
        </a:xfrm>
        <a:prstGeom prst="rect">
          <a:avLst/>
        </a:prstGeom>
        <a:solidFill>
          <a:srgbClr val="C0BFB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0</xdr:col>
      <xdr:colOff>257175</xdr:colOff>
      <xdr:row>20</xdr:row>
      <xdr:rowOff>0</xdr:rowOff>
    </xdr:from>
    <xdr:to>
      <xdr:col>1</xdr:col>
      <xdr:colOff>838200</xdr:colOff>
      <xdr:row>22</xdr:row>
      <xdr:rowOff>114300</xdr:rowOff>
    </xdr:to>
    <xdr:sp macro="" textlink="">
      <xdr:nvSpPr>
        <xdr:cNvPr id="5154" name="ESPFlowT1">
          <a:extLst>
            <a:ext uri="{FF2B5EF4-FFF2-40B4-BE49-F238E27FC236}">
              <a16:creationId xmlns:a16="http://schemas.microsoft.com/office/drawing/2014/main" id="{00000000-0008-0000-0000-000022140000}"/>
            </a:ext>
          </a:extLst>
        </xdr:cNvPr>
        <xdr:cNvSpPr txBox="1">
          <a:spLocks noChangeArrowheads="1"/>
        </xdr:cNvSpPr>
      </xdr:nvSpPr>
      <xdr:spPr bwMode="auto">
        <a:xfrm>
          <a:off x="257175" y="3695700"/>
          <a:ext cx="981075" cy="400050"/>
        </a:xfrm>
        <a:prstGeom prst="rect">
          <a:avLst/>
        </a:prstGeom>
        <a:solidFill>
          <a:srgbClr val="DA9694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0</xdr:col>
      <xdr:colOff>257175</xdr:colOff>
      <xdr:row>24</xdr:row>
      <xdr:rowOff>0</xdr:rowOff>
    </xdr:from>
    <xdr:to>
      <xdr:col>1</xdr:col>
      <xdr:colOff>838200</xdr:colOff>
      <xdr:row>26</xdr:row>
      <xdr:rowOff>114300</xdr:rowOff>
    </xdr:to>
    <xdr:sp macro="" textlink="">
      <xdr:nvSpPr>
        <xdr:cNvPr id="5155" name="ESPFlowT2">
          <a:extLst>
            <a:ext uri="{FF2B5EF4-FFF2-40B4-BE49-F238E27FC236}">
              <a16:creationId xmlns:a16="http://schemas.microsoft.com/office/drawing/2014/main" id="{00000000-0008-0000-0000-000023140000}"/>
            </a:ext>
          </a:extLst>
        </xdr:cNvPr>
        <xdr:cNvSpPr txBox="1">
          <a:spLocks noChangeArrowheads="1"/>
        </xdr:cNvSpPr>
      </xdr:nvSpPr>
      <xdr:spPr bwMode="auto">
        <a:xfrm>
          <a:off x="257175" y="4267200"/>
          <a:ext cx="981075" cy="400050"/>
        </a:xfrm>
        <a:prstGeom prst="rect">
          <a:avLst/>
        </a:prstGeom>
        <a:solidFill>
          <a:srgbClr val="DA9694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1219200</xdr:colOff>
      <xdr:row>25</xdr:row>
      <xdr:rowOff>57150</xdr:rowOff>
    </xdr:from>
    <xdr:to>
      <xdr:col>2</xdr:col>
      <xdr:colOff>1533525</xdr:colOff>
      <xdr:row>25</xdr:row>
      <xdr:rowOff>57150</xdr:rowOff>
    </xdr:to>
    <xdr:cxnSp macro="">
      <xdr:nvCxnSpPr>
        <xdr:cNvPr id="5180" name="ESPFlowA5">
          <a:extLst>
            <a:ext uri="{FF2B5EF4-FFF2-40B4-BE49-F238E27FC236}">
              <a16:creationId xmlns:a16="http://schemas.microsoft.com/office/drawing/2014/main" id="{00000000-0008-0000-0000-00003C140000}"/>
            </a:ext>
          </a:extLst>
        </xdr:cNvPr>
        <xdr:cNvCxnSpPr>
          <a:cxnSpLocks noChangeShapeType="1"/>
          <a:stCxn id="5152" idx="1"/>
          <a:endCxn id="5153" idx="3"/>
        </xdr:cNvCxnSpPr>
      </xdr:nvCxnSpPr>
      <xdr:spPr bwMode="auto">
        <a:xfrm flipH="1">
          <a:off x="2524125" y="4467225"/>
          <a:ext cx="3143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1</xdr:col>
      <xdr:colOff>838200</xdr:colOff>
      <xdr:row>21</xdr:row>
      <xdr:rowOff>57150</xdr:rowOff>
    </xdr:from>
    <xdr:to>
      <xdr:col>2</xdr:col>
      <xdr:colOff>238125</xdr:colOff>
      <xdr:row>25</xdr:row>
      <xdr:rowOff>57150</xdr:rowOff>
    </xdr:to>
    <xdr:cxnSp macro="">
      <xdr:nvCxnSpPr>
        <xdr:cNvPr id="5181" name="ESPFlowA3B">
          <a:extLst>
            <a:ext uri="{FF2B5EF4-FFF2-40B4-BE49-F238E27FC236}">
              <a16:creationId xmlns:a16="http://schemas.microsoft.com/office/drawing/2014/main" id="{00000000-0008-0000-0000-00003D140000}"/>
            </a:ext>
          </a:extLst>
        </xdr:cNvPr>
        <xdr:cNvCxnSpPr>
          <a:cxnSpLocks noChangeShapeType="1"/>
          <a:stCxn id="5153" idx="1"/>
          <a:endCxn id="5154" idx="3"/>
        </xdr:cNvCxnSpPr>
      </xdr:nvCxnSpPr>
      <xdr:spPr bwMode="auto">
        <a:xfrm flipH="1" flipV="1">
          <a:off x="1238250" y="3895725"/>
          <a:ext cx="304800" cy="5715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1</xdr:col>
      <xdr:colOff>838200</xdr:colOff>
      <xdr:row>25</xdr:row>
      <xdr:rowOff>57150</xdr:rowOff>
    </xdr:from>
    <xdr:to>
      <xdr:col>2</xdr:col>
      <xdr:colOff>238125</xdr:colOff>
      <xdr:row>25</xdr:row>
      <xdr:rowOff>57150</xdr:rowOff>
    </xdr:to>
    <xdr:cxnSp macro="">
      <xdr:nvCxnSpPr>
        <xdr:cNvPr id="5182" name="ESPFlowA3">
          <a:extLst>
            <a:ext uri="{FF2B5EF4-FFF2-40B4-BE49-F238E27FC236}">
              <a16:creationId xmlns:a16="http://schemas.microsoft.com/office/drawing/2014/main" id="{00000000-0008-0000-0000-00003E140000}"/>
            </a:ext>
          </a:extLst>
        </xdr:cNvPr>
        <xdr:cNvCxnSpPr>
          <a:cxnSpLocks noChangeShapeType="1"/>
          <a:stCxn id="5153" idx="1"/>
          <a:endCxn id="5155" idx="3"/>
        </xdr:cNvCxnSpPr>
      </xdr:nvCxnSpPr>
      <xdr:spPr bwMode="auto">
        <a:xfrm flipH="1">
          <a:off x="1238250" y="4467225"/>
          <a:ext cx="30480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1533525</xdr:colOff>
      <xdr:row>20</xdr:row>
      <xdr:rowOff>0</xdr:rowOff>
    </xdr:from>
    <xdr:to>
      <xdr:col>2</xdr:col>
      <xdr:colOff>2514600</xdr:colOff>
      <xdr:row>22</xdr:row>
      <xdr:rowOff>114300</xdr:rowOff>
    </xdr:to>
    <xdr:sp macro="" textlink="">
      <xdr:nvSpPr>
        <xdr:cNvPr id="5160" name="ESPFlowT4">
          <a:extLst>
            <a:ext uri="{FF2B5EF4-FFF2-40B4-BE49-F238E27FC236}">
              <a16:creationId xmlns:a16="http://schemas.microsoft.com/office/drawing/2014/main" id="{00000000-0008-0000-0000-000028140000}"/>
            </a:ext>
          </a:extLst>
        </xdr:cNvPr>
        <xdr:cNvSpPr txBox="1">
          <a:spLocks noChangeArrowheads="1"/>
        </xdr:cNvSpPr>
      </xdr:nvSpPr>
      <xdr:spPr bwMode="auto">
        <a:xfrm>
          <a:off x="2838450" y="3695700"/>
          <a:ext cx="981075" cy="400050"/>
        </a:xfrm>
        <a:prstGeom prst="rect">
          <a:avLst/>
        </a:prstGeom>
        <a:solidFill>
          <a:srgbClr val="C4D69B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2828925</xdr:colOff>
      <xdr:row>24</xdr:row>
      <xdr:rowOff>0</xdr:rowOff>
    </xdr:from>
    <xdr:to>
      <xdr:col>2</xdr:col>
      <xdr:colOff>3810000</xdr:colOff>
      <xdr:row>26</xdr:row>
      <xdr:rowOff>114300</xdr:rowOff>
    </xdr:to>
    <xdr:sp macro="" textlink="">
      <xdr:nvSpPr>
        <xdr:cNvPr id="5161" name="ESPFlowT6">
          <a:extLst>
            <a:ext uri="{FF2B5EF4-FFF2-40B4-BE49-F238E27FC236}">
              <a16:creationId xmlns:a16="http://schemas.microsoft.com/office/drawing/2014/main" id="{00000000-0008-0000-0000-000029140000}"/>
            </a:ext>
          </a:extLst>
        </xdr:cNvPr>
        <xdr:cNvSpPr txBox="1">
          <a:spLocks noChangeArrowheads="1"/>
        </xdr:cNvSpPr>
      </xdr:nvSpPr>
      <xdr:spPr bwMode="auto">
        <a:xfrm>
          <a:off x="4133850" y="4267200"/>
          <a:ext cx="981075" cy="400050"/>
        </a:xfrm>
        <a:prstGeom prst="rect">
          <a:avLst/>
        </a:prstGeom>
        <a:solidFill>
          <a:srgbClr val="BDDE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SourceName</a:t>
          </a:r>
        </a:p>
      </xdr:txBody>
    </xdr:sp>
    <xdr:clientData/>
  </xdr:twoCellAnchor>
  <xdr:twoCellAnchor>
    <xdr:from>
      <xdr:col>2</xdr:col>
      <xdr:colOff>2514600</xdr:colOff>
      <xdr:row>25</xdr:row>
      <xdr:rowOff>57150</xdr:rowOff>
    </xdr:from>
    <xdr:to>
      <xdr:col>2</xdr:col>
      <xdr:colOff>2828925</xdr:colOff>
      <xdr:row>25</xdr:row>
      <xdr:rowOff>57150</xdr:rowOff>
    </xdr:to>
    <xdr:cxnSp macro="">
      <xdr:nvCxnSpPr>
        <xdr:cNvPr id="5185" name="ESPFlowA6">
          <a:extLst>
            <a:ext uri="{FF2B5EF4-FFF2-40B4-BE49-F238E27FC236}">
              <a16:creationId xmlns:a16="http://schemas.microsoft.com/office/drawing/2014/main" id="{00000000-0008-0000-0000-000041140000}"/>
            </a:ext>
          </a:extLst>
        </xdr:cNvPr>
        <xdr:cNvCxnSpPr>
          <a:cxnSpLocks noChangeShapeType="1"/>
          <a:stCxn id="5161" idx="1"/>
          <a:endCxn id="5152" idx="3"/>
        </xdr:cNvCxnSpPr>
      </xdr:nvCxnSpPr>
      <xdr:spPr bwMode="auto">
        <a:xfrm flipH="1">
          <a:off x="3819525" y="4467225"/>
          <a:ext cx="3143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733425</xdr:colOff>
      <xdr:row>21</xdr:row>
      <xdr:rowOff>57150</xdr:rowOff>
    </xdr:from>
    <xdr:to>
      <xdr:col>2</xdr:col>
      <xdr:colOff>1533525</xdr:colOff>
      <xdr:row>24</xdr:row>
      <xdr:rowOff>0</xdr:rowOff>
    </xdr:to>
    <xdr:cxnSp macro="">
      <xdr:nvCxnSpPr>
        <xdr:cNvPr id="5186" name="ESPFlowA4">
          <a:extLst>
            <a:ext uri="{FF2B5EF4-FFF2-40B4-BE49-F238E27FC236}">
              <a16:creationId xmlns:a16="http://schemas.microsoft.com/office/drawing/2014/main" id="{00000000-0008-0000-0000-000042140000}"/>
            </a:ext>
          </a:extLst>
        </xdr:cNvPr>
        <xdr:cNvCxnSpPr>
          <a:cxnSpLocks noChangeShapeType="1"/>
          <a:stCxn id="5160" idx="1"/>
          <a:endCxn id="5153" idx="0"/>
        </xdr:cNvCxnSpPr>
      </xdr:nvCxnSpPr>
      <xdr:spPr bwMode="auto">
        <a:xfrm flipH="1">
          <a:off x="2038350" y="3895725"/>
          <a:ext cx="800100" cy="37147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" refreshedDate="45384.369374768517" createdVersion="8" refreshedVersion="8" minRefreshableVersion="3" recordCount="68" xr:uid="{61CCBFBB-537A-4FD8-9EF4-D40FE547A5F5}">
  <cacheSource type="worksheet">
    <worksheetSource name="GetAllCompanyP_Ls"/>
  </cacheSource>
  <cacheFields count="5">
    <cacheField name="DataItem" numFmtId="0">
      <sharedItems/>
    </cacheField>
    <cacheField name="Value" numFmtId="164">
      <sharedItems containsSemiMixedTypes="0" containsString="0" containsNumber="1" containsInteger="1" minValue="0" maxValue="135000"/>
    </cacheField>
    <cacheField name="CompanyName" numFmtId="0">
      <sharedItems count="2">
        <s v="Company A"/>
        <s v="Company B"/>
      </sharedItems>
    </cacheField>
    <cacheField name="Period" numFmtId="177">
      <sharedItems containsSemiMixedTypes="0" containsNonDate="0" containsDate="1" containsString="0" minDate="2024-04-30T00:00:00" maxDate="2024-06-01T00:00:00" count="2">
        <d v="2024-04-30T00:00:00"/>
        <d v="2024-05-31T00:00:00"/>
      </sharedItems>
    </cacheField>
    <cacheField name="Grouping" numFmtId="0">
      <sharedItems count="8">
        <s v="Sales"/>
        <s v="Total Trading Income"/>
        <s v="CoGS"/>
        <s v="Total Cost of Sales"/>
        <s v="Gross Profit"/>
        <s v="Expenses"/>
        <s v="Total Operating Expenses"/>
        <s v="Net Profi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s v="Consultancy"/>
    <n v="100000"/>
    <x v="0"/>
    <x v="0"/>
    <x v="0"/>
  </r>
  <r>
    <s v="Other Revenue"/>
    <n v="20000"/>
    <x v="0"/>
    <x v="0"/>
    <x v="0"/>
  </r>
  <r>
    <s v="Training"/>
    <n v="15000"/>
    <x v="0"/>
    <x v="0"/>
    <x v="0"/>
  </r>
  <r>
    <s v="Total Trading Income"/>
    <n v="135000"/>
    <x v="0"/>
    <x v="0"/>
    <x v="1"/>
  </r>
  <r>
    <s v="Cost of Goods Sold"/>
    <n v="640"/>
    <x v="0"/>
    <x v="0"/>
    <x v="2"/>
  </r>
  <r>
    <s v="Total Cost of Sales"/>
    <n v="640"/>
    <x v="0"/>
    <x v="0"/>
    <x v="3"/>
  </r>
  <r>
    <s v="Gross Profit"/>
    <n v="134360"/>
    <x v="0"/>
    <x v="0"/>
    <x v="4"/>
  </r>
  <r>
    <s v="Bank Fees"/>
    <n v="63"/>
    <x v="0"/>
    <x v="0"/>
    <x v="5"/>
  </r>
  <r>
    <s v="Employee expenses"/>
    <n v="250"/>
    <x v="0"/>
    <x v="0"/>
    <x v="5"/>
  </r>
  <r>
    <s v="General Expenses"/>
    <n v="300"/>
    <x v="0"/>
    <x v="0"/>
    <x v="5"/>
  </r>
  <r>
    <s v="IT support services"/>
    <n v="2000"/>
    <x v="0"/>
    <x v="0"/>
    <x v="5"/>
  </r>
  <r>
    <s v="PAYE"/>
    <n v="9000"/>
    <x v="0"/>
    <x v="0"/>
    <x v="5"/>
  </r>
  <r>
    <s v="Printing &amp; Stationery"/>
    <n v="900"/>
    <x v="0"/>
    <x v="0"/>
    <x v="5"/>
  </r>
  <r>
    <s v="Salaries Net"/>
    <n v="80000"/>
    <x v="0"/>
    <x v="0"/>
    <x v="5"/>
  </r>
  <r>
    <s v="Subscriptions"/>
    <n v="829"/>
    <x v="0"/>
    <x v="0"/>
    <x v="5"/>
  </r>
  <r>
    <s v="Total Operating Expenses"/>
    <n v="93342"/>
    <x v="0"/>
    <x v="0"/>
    <x v="6"/>
  </r>
  <r>
    <s v="Net Profit"/>
    <n v="41018"/>
    <x v="0"/>
    <x v="0"/>
    <x v="7"/>
  </r>
  <r>
    <s v="Consultancy"/>
    <n v="95000"/>
    <x v="0"/>
    <x v="1"/>
    <x v="0"/>
  </r>
  <r>
    <s v="Other Revenue"/>
    <n v="17000"/>
    <x v="0"/>
    <x v="1"/>
    <x v="0"/>
  </r>
  <r>
    <s v="Training"/>
    <n v="22000"/>
    <x v="0"/>
    <x v="1"/>
    <x v="0"/>
  </r>
  <r>
    <s v="Total Trading Income"/>
    <n v="134000"/>
    <x v="0"/>
    <x v="1"/>
    <x v="1"/>
  </r>
  <r>
    <s v="Cost of Goods Sold"/>
    <n v="560"/>
    <x v="0"/>
    <x v="1"/>
    <x v="2"/>
  </r>
  <r>
    <s v="Total Cost of Sales"/>
    <n v="560"/>
    <x v="0"/>
    <x v="1"/>
    <x v="3"/>
  </r>
  <r>
    <s v="Gross Profit"/>
    <n v="133440"/>
    <x v="0"/>
    <x v="1"/>
    <x v="4"/>
  </r>
  <r>
    <s v="Bank Fees"/>
    <n v="63"/>
    <x v="0"/>
    <x v="1"/>
    <x v="5"/>
  </r>
  <r>
    <s v="Employee expenses"/>
    <n v="230"/>
    <x v="0"/>
    <x v="1"/>
    <x v="5"/>
  </r>
  <r>
    <s v="General Expenses"/>
    <n v="200"/>
    <x v="0"/>
    <x v="1"/>
    <x v="5"/>
  </r>
  <r>
    <s v="IT support services"/>
    <n v="1800"/>
    <x v="0"/>
    <x v="1"/>
    <x v="5"/>
  </r>
  <r>
    <s v="PAYE"/>
    <n v="8000"/>
    <x v="0"/>
    <x v="1"/>
    <x v="5"/>
  </r>
  <r>
    <s v="Printing &amp; Stationery"/>
    <n v="1200"/>
    <x v="0"/>
    <x v="1"/>
    <x v="5"/>
  </r>
  <r>
    <s v="Salaries Net"/>
    <n v="75000"/>
    <x v="0"/>
    <x v="1"/>
    <x v="5"/>
  </r>
  <r>
    <s v="Subscriptions"/>
    <n v="600"/>
    <x v="0"/>
    <x v="1"/>
    <x v="5"/>
  </r>
  <r>
    <s v="Total Operating Expenses"/>
    <n v="87093"/>
    <x v="0"/>
    <x v="1"/>
    <x v="6"/>
  </r>
  <r>
    <s v="Net Profit"/>
    <n v="46347"/>
    <x v="0"/>
    <x v="1"/>
    <x v="7"/>
  </r>
  <r>
    <s v="Consultancy"/>
    <n v="70000"/>
    <x v="1"/>
    <x v="0"/>
    <x v="0"/>
  </r>
  <r>
    <s v="Other Revenue"/>
    <n v="12000"/>
    <x v="1"/>
    <x v="0"/>
    <x v="0"/>
  </r>
  <r>
    <s v="Training"/>
    <n v="5000"/>
    <x v="1"/>
    <x v="0"/>
    <x v="0"/>
  </r>
  <r>
    <s v="Total Trading Income"/>
    <n v="87000"/>
    <x v="1"/>
    <x v="0"/>
    <x v="1"/>
  </r>
  <r>
    <s v="Cost of Goods Sold"/>
    <n v="200"/>
    <x v="1"/>
    <x v="0"/>
    <x v="2"/>
  </r>
  <r>
    <s v="Total Cost of Sales"/>
    <n v="200"/>
    <x v="1"/>
    <x v="0"/>
    <x v="3"/>
  </r>
  <r>
    <s v="Gross Profit"/>
    <n v="86800"/>
    <x v="1"/>
    <x v="0"/>
    <x v="4"/>
  </r>
  <r>
    <s v="Bank Fees"/>
    <n v="63"/>
    <x v="1"/>
    <x v="0"/>
    <x v="5"/>
  </r>
  <r>
    <s v="Employee expenses"/>
    <n v="125"/>
    <x v="1"/>
    <x v="0"/>
    <x v="5"/>
  </r>
  <r>
    <s v="General Expenses"/>
    <n v="200"/>
    <x v="1"/>
    <x v="0"/>
    <x v="5"/>
  </r>
  <r>
    <s v="IT support services"/>
    <n v="0"/>
    <x v="1"/>
    <x v="0"/>
    <x v="5"/>
  </r>
  <r>
    <s v="PAYE"/>
    <n v="6000"/>
    <x v="1"/>
    <x v="0"/>
    <x v="5"/>
  </r>
  <r>
    <s v="Printing &amp; Stationery"/>
    <n v="500"/>
    <x v="1"/>
    <x v="0"/>
    <x v="5"/>
  </r>
  <r>
    <s v="Salaries Net"/>
    <n v="30000"/>
    <x v="1"/>
    <x v="0"/>
    <x v="5"/>
  </r>
  <r>
    <s v="Subscriptions"/>
    <n v="0"/>
    <x v="1"/>
    <x v="0"/>
    <x v="5"/>
  </r>
  <r>
    <s v="Total Operating Expenses"/>
    <n v="36888"/>
    <x v="1"/>
    <x v="0"/>
    <x v="6"/>
  </r>
  <r>
    <s v="Net Profit"/>
    <n v="49912"/>
    <x v="1"/>
    <x v="0"/>
    <x v="7"/>
  </r>
  <r>
    <s v="Consultancy"/>
    <n v="40000"/>
    <x v="1"/>
    <x v="1"/>
    <x v="0"/>
  </r>
  <r>
    <s v="Other Revenue"/>
    <n v="7000"/>
    <x v="1"/>
    <x v="1"/>
    <x v="0"/>
  </r>
  <r>
    <s v="Training"/>
    <n v="2500"/>
    <x v="1"/>
    <x v="1"/>
    <x v="0"/>
  </r>
  <r>
    <s v="Total Trading Income"/>
    <n v="49500"/>
    <x v="1"/>
    <x v="1"/>
    <x v="1"/>
  </r>
  <r>
    <s v="Cost of Goods Sold"/>
    <n v="300"/>
    <x v="1"/>
    <x v="1"/>
    <x v="2"/>
  </r>
  <r>
    <s v="Total Cost of Sales"/>
    <n v="300"/>
    <x v="1"/>
    <x v="1"/>
    <x v="3"/>
  </r>
  <r>
    <s v="Gross Profit"/>
    <n v="49200"/>
    <x v="1"/>
    <x v="1"/>
    <x v="4"/>
  </r>
  <r>
    <s v="Bank Fees"/>
    <n v="63"/>
    <x v="1"/>
    <x v="1"/>
    <x v="5"/>
  </r>
  <r>
    <s v="Employee expenses"/>
    <n v="175"/>
    <x v="1"/>
    <x v="1"/>
    <x v="5"/>
  </r>
  <r>
    <s v="General Expenses"/>
    <n v="400"/>
    <x v="1"/>
    <x v="1"/>
    <x v="5"/>
  </r>
  <r>
    <s v="IT support services"/>
    <n v="0"/>
    <x v="1"/>
    <x v="1"/>
    <x v="5"/>
  </r>
  <r>
    <s v="PAYE"/>
    <n v="3000"/>
    <x v="1"/>
    <x v="1"/>
    <x v="5"/>
  </r>
  <r>
    <s v="Printing &amp; Stationery"/>
    <n v="500"/>
    <x v="1"/>
    <x v="1"/>
    <x v="5"/>
  </r>
  <r>
    <s v="Salaries Net"/>
    <n v="25000"/>
    <x v="1"/>
    <x v="1"/>
    <x v="5"/>
  </r>
  <r>
    <s v="Subscriptions"/>
    <n v="0"/>
    <x v="1"/>
    <x v="1"/>
    <x v="5"/>
  </r>
  <r>
    <s v="Total Operating Expenses"/>
    <n v="29138"/>
    <x v="1"/>
    <x v="1"/>
    <x v="6"/>
  </r>
  <r>
    <s v="Net Profit"/>
    <n v="20062"/>
    <x v="1"/>
    <x v="1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460F1-2DB7-48AC-BF2A-3A62CAACA489}" name="PivotTable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17:N24" firstHeaderRow="1" firstDataRow="2" firstDataCol="1" rowPageCount="1" colPageCount="1"/>
  <pivotFields count="5">
    <pivotField showAll="0"/>
    <pivotField dataField="1" numFmtId="164" showAll="0"/>
    <pivotField axis="axisCol" showAll="0">
      <items count="3">
        <item x="0"/>
        <item x="1"/>
        <item t="default"/>
      </items>
    </pivotField>
    <pivotField axis="axisPage" numFmtId="177" showAll="0">
      <items count="3">
        <item x="0"/>
        <item x="1"/>
        <item t="default"/>
      </items>
    </pivotField>
    <pivotField axis="axisRow" showAll="0">
      <items count="9">
        <item x="0"/>
        <item x="2"/>
        <item x="4"/>
        <item x="5"/>
        <item x="7"/>
        <item h="1" x="3"/>
        <item h="1" x="6"/>
        <item h="1" x="1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3" hier="-1"/>
  </pageFields>
  <dataFields count="1">
    <dataField name="Sum of Value" fld="1" baseField="0" baseItem="0" numFmtId="37"/>
  </dataFields>
  <pivotTableStyleInfo name="ESPPivot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1F372AD3-C4C1-491C-934F-A461D2383139}" autoFormatId="16" applyNumberFormats="0" applyBorderFormats="0" applyFontFormats="0" applyPatternFormats="0" applyAlignmentFormats="0" applyWidthHeightFormats="0">
  <queryTableRefresh nextId="10">
    <queryTableFields count="5">
      <queryTableField id="5" name="DataItem" tableColumnId="5"/>
      <queryTableField id="6" name="Value" tableColumnId="6"/>
      <queryTableField id="7" name="CompanyName" tableColumnId="7"/>
      <queryTableField id="8" name="Period" tableColumnId="8"/>
      <queryTableField id="9" name="Grouping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BC274F-A37A-4F36-AD0F-5E116382E8CD}" name="GetAllCompanyP_Ls" displayName="GetAllCompanyP_Ls" ref="O14:S82" tableType="queryTable" totalsRowShown="0" headerRowDxfId="2">
  <autoFilter ref="O14:S82" xr:uid="{57BC274F-A37A-4F36-AD0F-5E116382E8CD}"/>
  <tableColumns count="5">
    <tableColumn id="5" xr3:uid="{DFA0C753-5895-4670-A558-67BDCB58D794}" uniqueName="5" name="DataItem" queryTableFieldId="5"/>
    <tableColumn id="6" xr3:uid="{A4A850C9-1988-484D-861F-13558B5FE009}" uniqueName="6" name="Value" queryTableFieldId="6" dataCellStyle="cc0 -CalComma"/>
    <tableColumn id="7" xr3:uid="{A899EAEB-A0CA-434F-9ACE-88170DF1A846}" uniqueName="7" name="CompanyName" queryTableFieldId="7"/>
    <tableColumn id="8" xr3:uid="{DC4D0821-DA25-4D4F-9DC0-0C8F6079A89E}" uniqueName="8" name="Period" queryTableFieldId="8" dataCellStyle="cdMMY -CalDate"/>
    <tableColumn id="9" xr3:uid="{401173A5-0B2D-486C-9EB4-FC1F6D921069}" uniqueName="9" name="Grouping" queryTableFieldId="9" dataDxfId="1" dataCellStyle="cdMMY -CalDate"/>
  </tableColumns>
  <tableStyleInfo name="ESP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019EE5-7620-4D86-9C8E-36BBF7C1BA35}" name="dtbMap" displayName="dtbMap" ref="K14:M26" totalsRowShown="0" headerRowBorderDxfId="0">
  <autoFilter ref="K14:M26" xr:uid="{99019EE5-7620-4D86-9C8E-36BBF7C1BA35}"/>
  <tableColumns count="3">
    <tableColumn id="1" xr3:uid="{42C68FB4-D1FD-4A9E-AAE5-27DCFCA56E93}" name="DataItem"/>
    <tableColumn id="2" xr3:uid="{F2FB1037-7199-4FD5-B684-90F4E8BEA7C3}" name="Grouping"/>
    <tableColumn id="3" xr3:uid="{B4266CBA-9AE0-4AC7-B281-B80A62AFF241}" name=" "/>
  </tableColumns>
  <tableStyleInfo name="ESP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37"/>
  <sheetViews>
    <sheetView workbookViewId="0">
      <pane xSplit="2" ySplit="4" topLeftCell="C5" activePane="bottomRight" state="frozen"/>
      <selection activeCell="K16" sqref="K16"/>
      <selection pane="topRight" activeCell="K16" sqref="K16"/>
      <selection pane="bottomLeft" activeCell="K16" sqref="K16"/>
      <selection pane="bottomRight" activeCell="A29" sqref="A29"/>
    </sheetView>
  </sheetViews>
  <sheetFormatPr defaultRowHeight="10.3" x14ac:dyDescent="0.25"/>
  <cols>
    <col min="1" max="1" width="7" customWidth="1"/>
    <col min="2" max="2" width="15.81640625" customWidth="1"/>
    <col min="3" max="3" width="96.453125" customWidth="1"/>
    <col min="4" max="4" width="2.36328125" customWidth="1"/>
  </cols>
  <sheetData>
    <row r="1" spans="1:4" ht="15.45" x14ac:dyDescent="0.25">
      <c r="A1" s="20" t="s">
        <v>16</v>
      </c>
      <c r="B1" s="27"/>
      <c r="C1" s="27"/>
      <c r="D1" s="21"/>
    </row>
    <row r="2" spans="1:4" ht="15.45" x14ac:dyDescent="0.25">
      <c r="A2" s="22" t="str">
        <f>kAppName</f>
        <v>-</v>
      </c>
      <c r="B2" s="28"/>
      <c r="C2" s="28"/>
      <c r="D2" s="23"/>
    </row>
    <row r="3" spans="1:4" x14ac:dyDescent="0.25">
      <c r="A3" s="29" t="str">
        <f>"Version " &amp; kVersion</f>
        <v>Version 01-Apr-2024A</v>
      </c>
      <c r="B3" s="28"/>
      <c r="C3" s="28"/>
      <c r="D3" s="23"/>
    </row>
    <row r="4" spans="1:4" ht="10.75" thickBot="1" x14ac:dyDescent="0.3">
      <c r="A4" s="30"/>
      <c r="B4" s="31"/>
      <c r="C4" s="31"/>
      <c r="D4" s="26"/>
    </row>
    <row r="5" spans="1:4" x14ac:dyDescent="0.25">
      <c r="A5" s="8" t="s">
        <v>24</v>
      </c>
    </row>
    <row r="6" spans="1:4" x14ac:dyDescent="0.25">
      <c r="A6" s="9" t="s">
        <v>25</v>
      </c>
      <c r="C6" s="10"/>
    </row>
    <row r="7" spans="1:4" x14ac:dyDescent="0.25">
      <c r="A7" s="9" t="s">
        <v>14</v>
      </c>
      <c r="C7" s="10"/>
    </row>
    <row r="8" spans="1:4" x14ac:dyDescent="0.25">
      <c r="A8" s="9" t="s">
        <v>6</v>
      </c>
      <c r="C8" s="4" t="str">
        <f ca="1">SUBSTITUTE(LEFT(CELL("filename",C8),FIND("]",CELL("filename",C8))-1),"[","")</f>
        <v>D:\d\Mag\FreeTips\Tip982\Combined.xlsm</v>
      </c>
    </row>
    <row r="9" spans="1:4" x14ac:dyDescent="0.25">
      <c r="A9" s="9" t="s">
        <v>7</v>
      </c>
      <c r="C9" t="str">
        <f>kVersion</f>
        <v>01-Apr-2024A</v>
      </c>
    </row>
    <row r="10" spans="1:4" x14ac:dyDescent="0.25">
      <c r="A10" s="9" t="s">
        <v>15</v>
      </c>
      <c r="C10" t="s">
        <v>43</v>
      </c>
    </row>
    <row r="11" spans="1:4" x14ac:dyDescent="0.25">
      <c r="A11" s="9" t="s">
        <v>17</v>
      </c>
      <c r="C11" s="10" t="s">
        <v>39</v>
      </c>
    </row>
    <row r="12" spans="1:4" x14ac:dyDescent="0.25">
      <c r="A12" s="9" t="s">
        <v>10</v>
      </c>
      <c r="C12" s="10" t="s">
        <v>33</v>
      </c>
    </row>
    <row r="13" spans="1:4" x14ac:dyDescent="0.25">
      <c r="A13" s="18" t="s">
        <v>22</v>
      </c>
    </row>
    <row r="14" spans="1:4" x14ac:dyDescent="0.25">
      <c r="A14" s="11" t="s">
        <v>18</v>
      </c>
      <c r="C14" s="10" t="s">
        <v>26</v>
      </c>
    </row>
    <row r="15" spans="1:4" x14ac:dyDescent="0.25">
      <c r="A15" s="11" t="s">
        <v>19</v>
      </c>
      <c r="C15" s="10" t="s">
        <v>28</v>
      </c>
    </row>
    <row r="16" spans="1:4" x14ac:dyDescent="0.25">
      <c r="A16" s="11" t="s">
        <v>23</v>
      </c>
      <c r="C16" s="10" t="s">
        <v>29</v>
      </c>
    </row>
    <row r="17" spans="1:3" x14ac:dyDescent="0.25">
      <c r="A17" s="11" t="s">
        <v>20</v>
      </c>
      <c r="C17" s="10" t="s">
        <v>30</v>
      </c>
    </row>
    <row r="18" spans="1:3" x14ac:dyDescent="0.25">
      <c r="A18" s="11" t="s">
        <v>21</v>
      </c>
      <c r="C18" s="10" t="s">
        <v>31</v>
      </c>
    </row>
    <row r="19" spans="1:3" x14ac:dyDescent="0.25">
      <c r="A19" s="9" t="s">
        <v>40</v>
      </c>
      <c r="C19" s="10" t="s">
        <v>41</v>
      </c>
    </row>
    <row r="20" spans="1:3" x14ac:dyDescent="0.25">
      <c r="A20" s="16" t="s">
        <v>27</v>
      </c>
      <c r="C20" s="10"/>
    </row>
    <row r="21" spans="1:3" x14ac:dyDescent="0.25">
      <c r="A21" s="12"/>
      <c r="C21" s="14"/>
    </row>
    <row r="22" spans="1:3" x14ac:dyDescent="0.25">
      <c r="A22" s="12"/>
      <c r="C22" s="14"/>
    </row>
    <row r="23" spans="1:3" x14ac:dyDescent="0.25">
      <c r="A23" s="4"/>
    </row>
    <row r="24" spans="1:3" x14ac:dyDescent="0.25">
      <c r="C24" s="14"/>
    </row>
    <row r="25" spans="1:3" x14ac:dyDescent="0.25">
      <c r="C25" s="14"/>
    </row>
    <row r="26" spans="1:3" x14ac:dyDescent="0.25">
      <c r="C26" s="14"/>
    </row>
    <row r="27" spans="1:3" x14ac:dyDescent="0.25">
      <c r="C27" s="14"/>
    </row>
    <row r="28" spans="1:3" x14ac:dyDescent="0.25">
      <c r="C28" s="14"/>
    </row>
    <row r="29" spans="1:3" x14ac:dyDescent="0.25">
      <c r="A29" s="15" t="s">
        <v>4</v>
      </c>
      <c r="B29" s="4"/>
    </row>
    <row r="30" spans="1:3" x14ac:dyDescent="0.25">
      <c r="A30" s="16" t="s">
        <v>34</v>
      </c>
      <c r="B30" s="4"/>
    </row>
    <row r="31" spans="1:3" x14ac:dyDescent="0.25">
      <c r="A31" s="19" t="s">
        <v>36</v>
      </c>
      <c r="B31" s="4"/>
    </row>
    <row r="32" spans="1:3" x14ac:dyDescent="0.25">
      <c r="A32" s="13" t="s">
        <v>8</v>
      </c>
      <c r="B32" s="7"/>
    </row>
    <row r="33" spans="1:3" x14ac:dyDescent="0.25">
      <c r="A33" s="13" t="s">
        <v>9</v>
      </c>
      <c r="B33" s="7"/>
      <c r="C33" s="4"/>
    </row>
    <row r="34" spans="1:3" x14ac:dyDescent="0.25">
      <c r="A34" s="18" t="s">
        <v>35</v>
      </c>
      <c r="B34" s="4"/>
      <c r="C34" s="4"/>
    </row>
    <row r="35" spans="1:3" x14ac:dyDescent="0.25">
      <c r="A35" s="19" t="s">
        <v>37</v>
      </c>
      <c r="B35" s="4"/>
      <c r="C35" s="4"/>
    </row>
    <row r="36" spans="1:3" x14ac:dyDescent="0.25">
      <c r="A36" s="13" t="s">
        <v>8</v>
      </c>
      <c r="B36" s="4"/>
      <c r="C36" s="4"/>
    </row>
    <row r="37" spans="1:3" x14ac:dyDescent="0.25">
      <c r="A37" s="13" t="s">
        <v>9</v>
      </c>
      <c r="B37" s="4"/>
      <c r="C37" s="4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818080"/>
  </sheetPr>
  <dimension ref="A1:B14"/>
  <sheetViews>
    <sheetView tabSelected="1" workbookViewId="0">
      <pane xSplit="1" ySplit="4" topLeftCell="B5" activePane="bottomRight" state="frozen"/>
      <selection activeCell="K16" sqref="K16"/>
      <selection pane="topRight" activeCell="K16" sqref="K16"/>
      <selection pane="bottomLeft" activeCell="K16" sqref="K16"/>
      <selection pane="bottomRight" activeCell="B9" sqref="B9"/>
    </sheetView>
  </sheetViews>
  <sheetFormatPr defaultColWidth="9.81640625" defaultRowHeight="10.3" x14ac:dyDescent="0.25"/>
  <cols>
    <col min="1" max="1" width="22" customWidth="1"/>
    <col min="2" max="2" width="41" bestFit="1" customWidth="1"/>
  </cols>
  <sheetData>
    <row r="1" spans="1:2" ht="15.45" x14ac:dyDescent="0.25">
      <c r="A1" s="20" t="s">
        <v>0</v>
      </c>
      <c r="B1" s="21"/>
    </row>
    <row r="2" spans="1:2" ht="15.45" x14ac:dyDescent="0.25">
      <c r="A2" s="22" t="str">
        <f>kAppName</f>
        <v>-</v>
      </c>
      <c r="B2" s="23"/>
    </row>
    <row r="3" spans="1:2" x14ac:dyDescent="0.25">
      <c r="A3" s="24"/>
      <c r="B3" s="23"/>
    </row>
    <row r="4" spans="1:2" ht="10.75" thickBot="1" x14ac:dyDescent="0.3">
      <c r="A4" s="25"/>
      <c r="B4" s="26"/>
    </row>
    <row r="5" spans="1:2" x14ac:dyDescent="0.25">
      <c r="A5" s="3"/>
      <c r="B5" s="1"/>
    </row>
    <row r="6" spans="1:2" x14ac:dyDescent="0.25">
      <c r="A6" s="3" t="s">
        <v>5</v>
      </c>
      <c r="B6" s="1" t="s">
        <v>32</v>
      </c>
    </row>
    <row r="7" spans="1:2" x14ac:dyDescent="0.25">
      <c r="A7" s="6" t="s">
        <v>7</v>
      </c>
      <c r="B7" s="1" t="s">
        <v>44</v>
      </c>
    </row>
    <row r="8" spans="1:2" x14ac:dyDescent="0.25">
      <c r="A8" s="3" t="s">
        <v>2</v>
      </c>
      <c r="B8" s="1" t="s">
        <v>3</v>
      </c>
    </row>
    <row r="9" spans="1:2" x14ac:dyDescent="0.25">
      <c r="A9" s="3" t="s">
        <v>82</v>
      </c>
      <c r="B9" s="1" t="str" cm="1">
        <f t="array" aca="1" ref="B9" ca="1">LEFT(CELL("filename",A9),FIND("[",CELL("filename",A9))-1)</f>
        <v>D:\d\Mag\FreeTips\Tip982\</v>
      </c>
    </row>
    <row r="10" spans="1:2" x14ac:dyDescent="0.25">
      <c r="A10" s="3" t="s">
        <v>38</v>
      </c>
      <c r="B10" s="1"/>
    </row>
    <row r="11" spans="1:2" x14ac:dyDescent="0.25">
      <c r="A11" s="3" t="s">
        <v>11</v>
      </c>
      <c r="B11" s="17">
        <v>1E-3</v>
      </c>
    </row>
    <row r="12" spans="1:2" x14ac:dyDescent="0.25">
      <c r="A12" s="3" t="s">
        <v>12</v>
      </c>
      <c r="B12" s="1" t="s">
        <v>13</v>
      </c>
    </row>
    <row r="13" spans="1:2" x14ac:dyDescent="0.25">
      <c r="A13" s="3" t="s">
        <v>1</v>
      </c>
      <c r="B13" s="1" t="str">
        <f ca="1">TEXT(NOW(),"d-mmm-yyyy h:mm AM/PM ")</f>
        <v xml:space="preserve">26-Apr-2024 8:04 pm </v>
      </c>
    </row>
    <row r="14" spans="1:2" ht="6" customHeight="1" thickBot="1" x14ac:dyDescent="0.3">
      <c r="A14" s="5"/>
      <c r="B14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FC8FB-FCDD-4D7B-A536-32FA2569A017}">
  <sheetPr codeName="Sheet3">
    <tabColor rgb="FFDB9694"/>
  </sheetPr>
  <dimension ref="K10:Z24"/>
  <sheetViews>
    <sheetView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S30" sqref="S30"/>
    </sheetView>
  </sheetViews>
  <sheetFormatPr defaultRowHeight="10.3" x14ac:dyDescent="0.25"/>
  <cols>
    <col min="1" max="1" width="50.81640625" customWidth="1"/>
    <col min="11" max="11" width="12.54296875" bestFit="1" customWidth="1"/>
    <col min="12" max="12" width="15" bestFit="1" customWidth="1"/>
    <col min="13" max="14" width="9.81640625" bestFit="1" customWidth="1"/>
    <col min="15" max="25" width="10.36328125" customWidth="1"/>
    <col min="26" max="26" width="1.81640625" customWidth="1"/>
  </cols>
  <sheetData>
    <row r="10" spans="11:26" ht="10.75" thickBot="1" x14ac:dyDescent="0.3"/>
    <row r="11" spans="11:26" ht="15.45" x14ac:dyDescent="0.25">
      <c r="K11" s="32" t="s">
        <v>81</v>
      </c>
      <c r="L11" s="33"/>
      <c r="M11" s="34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5"/>
    </row>
    <row r="12" spans="11:26" ht="15.45" x14ac:dyDescent="0.25">
      <c r="K12" s="36"/>
      <c r="L12" s="37"/>
      <c r="M12" s="38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9"/>
    </row>
    <row r="13" spans="11:26" ht="12.45" x14ac:dyDescent="0.25">
      <c r="K13" s="40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9"/>
    </row>
    <row r="14" spans="11:26" ht="10.75" thickBot="1" x14ac:dyDescent="0.3">
      <c r="K14" s="43" t="s">
        <v>69</v>
      </c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2" t="s">
        <v>70</v>
      </c>
    </row>
    <row r="15" spans="11:26" x14ac:dyDescent="0.25">
      <c r="K15" s="57" t="s">
        <v>67</v>
      </c>
      <c r="L15" t="s">
        <v>79</v>
      </c>
    </row>
    <row r="17" spans="11:14" x14ac:dyDescent="0.25">
      <c r="K17" s="57" t="s">
        <v>78</v>
      </c>
      <c r="L17" s="57" t="s">
        <v>80</v>
      </c>
    </row>
    <row r="18" spans="11:14" x14ac:dyDescent="0.25">
      <c r="K18" s="57" t="s">
        <v>76</v>
      </c>
      <c r="L18" t="s">
        <v>46</v>
      </c>
      <c r="M18" t="s">
        <v>64</v>
      </c>
      <c r="N18" t="s">
        <v>77</v>
      </c>
    </row>
    <row r="19" spans="11:14" x14ac:dyDescent="0.25">
      <c r="K19" s="58" t="s">
        <v>71</v>
      </c>
      <c r="L19" s="59">
        <v>269000</v>
      </c>
      <c r="M19" s="59">
        <v>136500</v>
      </c>
      <c r="N19" s="59">
        <v>405500</v>
      </c>
    </row>
    <row r="20" spans="11:14" x14ac:dyDescent="0.25">
      <c r="K20" s="58" t="s">
        <v>72</v>
      </c>
      <c r="L20" s="59">
        <v>1200</v>
      </c>
      <c r="M20" s="59">
        <v>500</v>
      </c>
      <c r="N20" s="59">
        <v>1700</v>
      </c>
    </row>
    <row r="21" spans="11:14" x14ac:dyDescent="0.25">
      <c r="K21" s="58" t="s">
        <v>53</v>
      </c>
      <c r="L21" s="59">
        <v>267800</v>
      </c>
      <c r="M21" s="59">
        <v>136000</v>
      </c>
      <c r="N21" s="59">
        <v>403800</v>
      </c>
    </row>
    <row r="22" spans="11:14" x14ac:dyDescent="0.25">
      <c r="K22" s="58" t="s">
        <v>73</v>
      </c>
      <c r="L22" s="59">
        <v>180435</v>
      </c>
      <c r="M22" s="59">
        <v>66026</v>
      </c>
      <c r="N22" s="59">
        <v>246461</v>
      </c>
    </row>
    <row r="23" spans="11:14" x14ac:dyDescent="0.25">
      <c r="K23" s="58" t="s">
        <v>63</v>
      </c>
      <c r="L23" s="59">
        <v>87365</v>
      </c>
      <c r="M23" s="59">
        <v>69974</v>
      </c>
      <c r="N23" s="59">
        <v>157339</v>
      </c>
    </row>
    <row r="24" spans="11:14" x14ac:dyDescent="0.25">
      <c r="K24" s="58" t="s">
        <v>77</v>
      </c>
      <c r="L24" s="59">
        <v>805800</v>
      </c>
      <c r="M24" s="59">
        <v>409000</v>
      </c>
      <c r="N24" s="59">
        <v>1214800</v>
      </c>
    </row>
  </sheetData>
  <pageMargins left="0.23622047244094491" right="0.23622047244094491" top="0.43307086614173229" bottom="0.43307086614173229" header="0.23622047244094491" footer="0.23622047244094491"/>
  <pageSetup paperSize="9" scale="80" orientation="landscape" r:id="rId2"/>
  <headerFooter alignWithMargins="0">
    <oddFooter>&amp;L&amp;8&amp;D &amp;T&amp;C&amp;8&amp;Z&amp;F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C5D79B"/>
  </sheetPr>
  <dimension ref="O10:T82"/>
  <sheetViews>
    <sheetView topLeftCell="O11" workbookViewId="0">
      <pane xSplit="1" ySplit="4" topLeftCell="P15" activePane="bottomRight" state="frozen"/>
      <selection activeCell="O11" sqref="O11"/>
      <selection pane="topRight" activeCell="P11" sqref="P11"/>
      <selection pane="bottomLeft" activeCell="O15" sqref="O15"/>
      <selection pane="bottomRight" activeCell="Q53" sqref="Q53"/>
    </sheetView>
  </sheetViews>
  <sheetFormatPr defaultRowHeight="10.3" x14ac:dyDescent="0.25"/>
  <cols>
    <col min="1" max="1" width="50.81640625" customWidth="1"/>
    <col min="11" max="11" width="21.08984375" bestFit="1" customWidth="1"/>
    <col min="12" max="12" width="8.1796875" bestFit="1" customWidth="1"/>
    <col min="13" max="13" width="16.36328125" bestFit="1" customWidth="1"/>
    <col min="14" max="14" width="9" bestFit="1" customWidth="1"/>
    <col min="15" max="15" width="23.36328125" customWidth="1"/>
    <col min="16" max="16" width="8.1796875" bestFit="1" customWidth="1"/>
    <col min="17" max="17" width="16.36328125" bestFit="1" customWidth="1"/>
    <col min="18" max="18" width="9" bestFit="1" customWidth="1"/>
    <col min="19" max="19" width="21.08984375" bestFit="1" customWidth="1"/>
    <col min="20" max="20" width="1.81640625" customWidth="1"/>
  </cols>
  <sheetData>
    <row r="10" spans="15:20" ht="10.75" thickBot="1" x14ac:dyDescent="0.3"/>
    <row r="11" spans="15:20" ht="15.45" x14ac:dyDescent="0.25">
      <c r="O11" s="32" t="s">
        <v>68</v>
      </c>
      <c r="P11" s="33"/>
      <c r="Q11" s="34"/>
      <c r="R11" s="34"/>
      <c r="S11" s="34"/>
      <c r="T11" s="35"/>
    </row>
    <row r="12" spans="15:20" ht="15.45" x14ac:dyDescent="0.25">
      <c r="O12" s="36"/>
      <c r="P12" s="37"/>
      <c r="Q12" s="38"/>
      <c r="R12" s="38"/>
      <c r="S12" s="38"/>
      <c r="T12" s="39"/>
    </row>
    <row r="13" spans="15:20" ht="12.45" x14ac:dyDescent="0.25">
      <c r="O13" s="40"/>
      <c r="P13" s="37"/>
      <c r="Q13" s="37"/>
      <c r="R13" s="37"/>
      <c r="S13" s="37"/>
      <c r="T13" s="39"/>
    </row>
    <row r="14" spans="15:20" ht="10.75" thickBot="1" x14ac:dyDescent="0.3">
      <c r="O14" s="46" t="s">
        <v>65</v>
      </c>
      <c r="P14" s="46" t="s">
        <v>66</v>
      </c>
      <c r="Q14" s="46" t="s">
        <v>45</v>
      </c>
      <c r="R14" s="46" t="s">
        <v>67</v>
      </c>
      <c r="S14" s="46" t="s">
        <v>74</v>
      </c>
      <c r="T14" s="42" t="s">
        <v>42</v>
      </c>
    </row>
    <row r="15" spans="15:20" x14ac:dyDescent="0.25">
      <c r="O15" t="s">
        <v>47</v>
      </c>
      <c r="P15" s="45">
        <v>100000</v>
      </c>
      <c r="Q15" t="s">
        <v>46</v>
      </c>
      <c r="R15" s="44">
        <v>45412</v>
      </c>
      <c r="S15" t="s">
        <v>71</v>
      </c>
    </row>
    <row r="16" spans="15:20" x14ac:dyDescent="0.25">
      <c r="O16" t="s">
        <v>48</v>
      </c>
      <c r="P16" s="45">
        <v>20000</v>
      </c>
      <c r="Q16" t="s">
        <v>46</v>
      </c>
      <c r="R16" s="44">
        <v>45412</v>
      </c>
      <c r="S16" t="s">
        <v>71</v>
      </c>
    </row>
    <row r="17" spans="15:19" x14ac:dyDescent="0.25">
      <c r="O17" t="s">
        <v>49</v>
      </c>
      <c r="P17" s="45">
        <v>15000</v>
      </c>
      <c r="Q17" t="s">
        <v>46</v>
      </c>
      <c r="R17" s="44">
        <v>45412</v>
      </c>
      <c r="S17" t="s">
        <v>71</v>
      </c>
    </row>
    <row r="18" spans="15:19" x14ac:dyDescent="0.25">
      <c r="O18" t="s">
        <v>50</v>
      </c>
      <c r="P18" s="45">
        <v>135000</v>
      </c>
      <c r="Q18" t="s">
        <v>46</v>
      </c>
      <c r="R18" s="44">
        <v>45412</v>
      </c>
      <c r="S18" t="s">
        <v>50</v>
      </c>
    </row>
    <row r="19" spans="15:19" x14ac:dyDescent="0.25">
      <c r="O19" t="s">
        <v>51</v>
      </c>
      <c r="P19" s="45">
        <v>640</v>
      </c>
      <c r="Q19" t="s">
        <v>46</v>
      </c>
      <c r="R19" s="44">
        <v>45412</v>
      </c>
      <c r="S19" t="s">
        <v>72</v>
      </c>
    </row>
    <row r="20" spans="15:19" x14ac:dyDescent="0.25">
      <c r="O20" t="s">
        <v>52</v>
      </c>
      <c r="P20" s="45">
        <v>640</v>
      </c>
      <c r="Q20" t="s">
        <v>46</v>
      </c>
      <c r="R20" s="44">
        <v>45412</v>
      </c>
      <c r="S20" t="s">
        <v>52</v>
      </c>
    </row>
    <row r="21" spans="15:19" x14ac:dyDescent="0.25">
      <c r="O21" t="s">
        <v>53</v>
      </c>
      <c r="P21" s="45">
        <v>134360</v>
      </c>
      <c r="Q21" t="s">
        <v>46</v>
      </c>
      <c r="R21" s="44">
        <v>45412</v>
      </c>
      <c r="S21" t="s">
        <v>53</v>
      </c>
    </row>
    <row r="22" spans="15:19" x14ac:dyDescent="0.25">
      <c r="O22" t="s">
        <v>54</v>
      </c>
      <c r="P22" s="45">
        <v>63</v>
      </c>
      <c r="Q22" t="s">
        <v>46</v>
      </c>
      <c r="R22" s="44">
        <v>45412</v>
      </c>
      <c r="S22" t="s">
        <v>73</v>
      </c>
    </row>
    <row r="23" spans="15:19" x14ac:dyDescent="0.25">
      <c r="O23" t="s">
        <v>55</v>
      </c>
      <c r="P23" s="45">
        <v>250</v>
      </c>
      <c r="Q23" t="s">
        <v>46</v>
      </c>
      <c r="R23" s="44">
        <v>45412</v>
      </c>
      <c r="S23" t="s">
        <v>73</v>
      </c>
    </row>
    <row r="24" spans="15:19" x14ac:dyDescent="0.25">
      <c r="O24" t="s">
        <v>56</v>
      </c>
      <c r="P24" s="45">
        <v>300</v>
      </c>
      <c r="Q24" t="s">
        <v>46</v>
      </c>
      <c r="R24" s="44">
        <v>45412</v>
      </c>
      <c r="S24" t="s">
        <v>73</v>
      </c>
    </row>
    <row r="25" spans="15:19" x14ac:dyDescent="0.25">
      <c r="O25" t="s">
        <v>57</v>
      </c>
      <c r="P25" s="45">
        <v>2000</v>
      </c>
      <c r="Q25" t="s">
        <v>46</v>
      </c>
      <c r="R25" s="44">
        <v>45412</v>
      </c>
      <c r="S25" t="s">
        <v>73</v>
      </c>
    </row>
    <row r="26" spans="15:19" x14ac:dyDescent="0.25">
      <c r="O26" t="s">
        <v>58</v>
      </c>
      <c r="P26" s="45">
        <v>9000</v>
      </c>
      <c r="Q26" t="s">
        <v>46</v>
      </c>
      <c r="R26" s="44">
        <v>45412</v>
      </c>
      <c r="S26" t="s">
        <v>73</v>
      </c>
    </row>
    <row r="27" spans="15:19" x14ac:dyDescent="0.25">
      <c r="O27" t="s">
        <v>59</v>
      </c>
      <c r="P27" s="45">
        <v>900</v>
      </c>
      <c r="Q27" t="s">
        <v>46</v>
      </c>
      <c r="R27" s="44">
        <v>45412</v>
      </c>
      <c r="S27" t="s">
        <v>73</v>
      </c>
    </row>
    <row r="28" spans="15:19" x14ac:dyDescent="0.25">
      <c r="O28" t="s">
        <v>60</v>
      </c>
      <c r="P28" s="45">
        <v>80000</v>
      </c>
      <c r="Q28" t="s">
        <v>46</v>
      </c>
      <c r="R28" s="44">
        <v>45412</v>
      </c>
      <c r="S28" t="s">
        <v>73</v>
      </c>
    </row>
    <row r="29" spans="15:19" x14ac:dyDescent="0.25">
      <c r="O29" t="s">
        <v>61</v>
      </c>
      <c r="P29" s="45">
        <v>829</v>
      </c>
      <c r="Q29" t="s">
        <v>46</v>
      </c>
      <c r="R29" s="44">
        <v>45412</v>
      </c>
      <c r="S29" t="s">
        <v>73</v>
      </c>
    </row>
    <row r="30" spans="15:19" x14ac:dyDescent="0.25">
      <c r="O30" t="s">
        <v>62</v>
      </c>
      <c r="P30" s="45">
        <v>93342</v>
      </c>
      <c r="Q30" t="s">
        <v>46</v>
      </c>
      <c r="R30" s="44">
        <v>45412</v>
      </c>
      <c r="S30" t="s">
        <v>62</v>
      </c>
    </row>
    <row r="31" spans="15:19" x14ac:dyDescent="0.25">
      <c r="O31" t="s">
        <v>63</v>
      </c>
      <c r="P31" s="45">
        <v>41018</v>
      </c>
      <c r="Q31" t="s">
        <v>46</v>
      </c>
      <c r="R31" s="44">
        <v>45412</v>
      </c>
      <c r="S31" t="s">
        <v>63</v>
      </c>
    </row>
    <row r="32" spans="15:19" x14ac:dyDescent="0.25">
      <c r="O32" t="s">
        <v>47</v>
      </c>
      <c r="P32" s="45">
        <v>95000</v>
      </c>
      <c r="Q32" t="s">
        <v>46</v>
      </c>
      <c r="R32" s="44">
        <v>45443</v>
      </c>
      <c r="S32" t="s">
        <v>71</v>
      </c>
    </row>
    <row r="33" spans="15:19" x14ac:dyDescent="0.25">
      <c r="O33" t="s">
        <v>48</v>
      </c>
      <c r="P33" s="45">
        <v>17000</v>
      </c>
      <c r="Q33" t="s">
        <v>46</v>
      </c>
      <c r="R33" s="44">
        <v>45443</v>
      </c>
      <c r="S33" t="s">
        <v>71</v>
      </c>
    </row>
    <row r="34" spans="15:19" x14ac:dyDescent="0.25">
      <c r="O34" t="s">
        <v>49</v>
      </c>
      <c r="P34" s="45">
        <v>22000</v>
      </c>
      <c r="Q34" t="s">
        <v>46</v>
      </c>
      <c r="R34" s="44">
        <v>45443</v>
      </c>
      <c r="S34" t="s">
        <v>71</v>
      </c>
    </row>
    <row r="35" spans="15:19" x14ac:dyDescent="0.25">
      <c r="O35" t="s">
        <v>50</v>
      </c>
      <c r="P35" s="45">
        <v>134000</v>
      </c>
      <c r="Q35" t="s">
        <v>46</v>
      </c>
      <c r="R35" s="44">
        <v>45443</v>
      </c>
      <c r="S35" t="s">
        <v>50</v>
      </c>
    </row>
    <row r="36" spans="15:19" x14ac:dyDescent="0.25">
      <c r="O36" t="s">
        <v>51</v>
      </c>
      <c r="P36" s="45">
        <v>560</v>
      </c>
      <c r="Q36" t="s">
        <v>46</v>
      </c>
      <c r="R36" s="44">
        <v>45443</v>
      </c>
      <c r="S36" t="s">
        <v>72</v>
      </c>
    </row>
    <row r="37" spans="15:19" x14ac:dyDescent="0.25">
      <c r="O37" t="s">
        <v>52</v>
      </c>
      <c r="P37" s="45">
        <v>560</v>
      </c>
      <c r="Q37" t="s">
        <v>46</v>
      </c>
      <c r="R37" s="44">
        <v>45443</v>
      </c>
      <c r="S37" t="s">
        <v>52</v>
      </c>
    </row>
    <row r="38" spans="15:19" x14ac:dyDescent="0.25">
      <c r="O38" t="s">
        <v>53</v>
      </c>
      <c r="P38" s="45">
        <v>133440</v>
      </c>
      <c r="Q38" t="s">
        <v>46</v>
      </c>
      <c r="R38" s="44">
        <v>45443</v>
      </c>
      <c r="S38" t="s">
        <v>53</v>
      </c>
    </row>
    <row r="39" spans="15:19" x14ac:dyDescent="0.25">
      <c r="O39" t="s">
        <v>54</v>
      </c>
      <c r="P39" s="45">
        <v>63</v>
      </c>
      <c r="Q39" t="s">
        <v>46</v>
      </c>
      <c r="R39" s="44">
        <v>45443</v>
      </c>
      <c r="S39" t="s">
        <v>73</v>
      </c>
    </row>
    <row r="40" spans="15:19" x14ac:dyDescent="0.25">
      <c r="O40" t="s">
        <v>55</v>
      </c>
      <c r="P40" s="45">
        <v>230</v>
      </c>
      <c r="Q40" t="s">
        <v>46</v>
      </c>
      <c r="R40" s="44">
        <v>45443</v>
      </c>
      <c r="S40" t="s">
        <v>73</v>
      </c>
    </row>
    <row r="41" spans="15:19" x14ac:dyDescent="0.25">
      <c r="O41" t="s">
        <v>56</v>
      </c>
      <c r="P41" s="45">
        <v>200</v>
      </c>
      <c r="Q41" t="s">
        <v>46</v>
      </c>
      <c r="R41" s="44">
        <v>45443</v>
      </c>
      <c r="S41" t="s">
        <v>73</v>
      </c>
    </row>
    <row r="42" spans="15:19" x14ac:dyDescent="0.25">
      <c r="O42" t="s">
        <v>57</v>
      </c>
      <c r="P42" s="45">
        <v>1800</v>
      </c>
      <c r="Q42" t="s">
        <v>46</v>
      </c>
      <c r="R42" s="44">
        <v>45443</v>
      </c>
      <c r="S42" t="s">
        <v>73</v>
      </c>
    </row>
    <row r="43" spans="15:19" x14ac:dyDescent="0.25">
      <c r="O43" t="s">
        <v>58</v>
      </c>
      <c r="P43" s="45">
        <v>8000</v>
      </c>
      <c r="Q43" t="s">
        <v>46</v>
      </c>
      <c r="R43" s="44">
        <v>45443</v>
      </c>
      <c r="S43" t="s">
        <v>73</v>
      </c>
    </row>
    <row r="44" spans="15:19" x14ac:dyDescent="0.25">
      <c r="O44" t="s">
        <v>59</v>
      </c>
      <c r="P44" s="45">
        <v>1200</v>
      </c>
      <c r="Q44" t="s">
        <v>46</v>
      </c>
      <c r="R44" s="44">
        <v>45443</v>
      </c>
      <c r="S44" t="s">
        <v>73</v>
      </c>
    </row>
    <row r="45" spans="15:19" x14ac:dyDescent="0.25">
      <c r="O45" t="s">
        <v>60</v>
      </c>
      <c r="P45" s="45">
        <v>75000</v>
      </c>
      <c r="Q45" t="s">
        <v>46</v>
      </c>
      <c r="R45" s="44">
        <v>45443</v>
      </c>
      <c r="S45" t="s">
        <v>73</v>
      </c>
    </row>
    <row r="46" spans="15:19" x14ac:dyDescent="0.25">
      <c r="O46" t="s">
        <v>61</v>
      </c>
      <c r="P46" s="45">
        <v>600</v>
      </c>
      <c r="Q46" t="s">
        <v>46</v>
      </c>
      <c r="R46" s="44">
        <v>45443</v>
      </c>
      <c r="S46" t="s">
        <v>73</v>
      </c>
    </row>
    <row r="47" spans="15:19" x14ac:dyDescent="0.25">
      <c r="O47" t="s">
        <v>62</v>
      </c>
      <c r="P47" s="45">
        <v>87093</v>
      </c>
      <c r="Q47" t="s">
        <v>46</v>
      </c>
      <c r="R47" s="44">
        <v>45443</v>
      </c>
      <c r="S47" t="s">
        <v>62</v>
      </c>
    </row>
    <row r="48" spans="15:19" x14ac:dyDescent="0.25">
      <c r="O48" t="s">
        <v>63</v>
      </c>
      <c r="P48" s="45">
        <v>46347</v>
      </c>
      <c r="Q48" t="s">
        <v>46</v>
      </c>
      <c r="R48" s="44">
        <v>45443</v>
      </c>
      <c r="S48" t="s">
        <v>63</v>
      </c>
    </row>
    <row r="49" spans="15:19" x14ac:dyDescent="0.25">
      <c r="O49" t="s">
        <v>47</v>
      </c>
      <c r="P49" s="45">
        <v>70000</v>
      </c>
      <c r="Q49" t="s">
        <v>64</v>
      </c>
      <c r="R49" s="44">
        <v>45412</v>
      </c>
      <c r="S49" t="s">
        <v>71</v>
      </c>
    </row>
    <row r="50" spans="15:19" x14ac:dyDescent="0.25">
      <c r="O50" t="s">
        <v>48</v>
      </c>
      <c r="P50" s="45">
        <v>12000</v>
      </c>
      <c r="Q50" t="s">
        <v>64</v>
      </c>
      <c r="R50" s="44">
        <v>45412</v>
      </c>
      <c r="S50" t="s">
        <v>71</v>
      </c>
    </row>
    <row r="51" spans="15:19" x14ac:dyDescent="0.25">
      <c r="O51" t="s">
        <v>49</v>
      </c>
      <c r="P51" s="45">
        <v>5000</v>
      </c>
      <c r="Q51" t="s">
        <v>64</v>
      </c>
      <c r="R51" s="44">
        <v>45412</v>
      </c>
      <c r="S51" t="s">
        <v>71</v>
      </c>
    </row>
    <row r="52" spans="15:19" x14ac:dyDescent="0.25">
      <c r="O52" t="s">
        <v>50</v>
      </c>
      <c r="P52" s="45">
        <v>87000</v>
      </c>
      <c r="Q52" t="s">
        <v>64</v>
      </c>
      <c r="R52" s="44">
        <v>45412</v>
      </c>
      <c r="S52" t="s">
        <v>50</v>
      </c>
    </row>
    <row r="53" spans="15:19" x14ac:dyDescent="0.25">
      <c r="O53" t="s">
        <v>51</v>
      </c>
      <c r="P53" s="45">
        <v>200</v>
      </c>
      <c r="Q53" t="s">
        <v>64</v>
      </c>
      <c r="R53" s="44">
        <v>45412</v>
      </c>
      <c r="S53" t="s">
        <v>72</v>
      </c>
    </row>
    <row r="54" spans="15:19" x14ac:dyDescent="0.25">
      <c r="O54" t="s">
        <v>52</v>
      </c>
      <c r="P54" s="45">
        <v>200</v>
      </c>
      <c r="Q54" t="s">
        <v>64</v>
      </c>
      <c r="R54" s="44">
        <v>45412</v>
      </c>
      <c r="S54" t="s">
        <v>52</v>
      </c>
    </row>
    <row r="55" spans="15:19" x14ac:dyDescent="0.25">
      <c r="O55" t="s">
        <v>53</v>
      </c>
      <c r="P55" s="45">
        <v>86800</v>
      </c>
      <c r="Q55" t="s">
        <v>64</v>
      </c>
      <c r="R55" s="44">
        <v>45412</v>
      </c>
      <c r="S55" t="s">
        <v>53</v>
      </c>
    </row>
    <row r="56" spans="15:19" x14ac:dyDescent="0.25">
      <c r="O56" t="s">
        <v>54</v>
      </c>
      <c r="P56" s="45">
        <v>63</v>
      </c>
      <c r="Q56" t="s">
        <v>64</v>
      </c>
      <c r="R56" s="44">
        <v>45412</v>
      </c>
      <c r="S56" t="s">
        <v>73</v>
      </c>
    </row>
    <row r="57" spans="15:19" x14ac:dyDescent="0.25">
      <c r="O57" t="s">
        <v>55</v>
      </c>
      <c r="P57" s="45">
        <v>125</v>
      </c>
      <c r="Q57" t="s">
        <v>64</v>
      </c>
      <c r="R57" s="44">
        <v>45412</v>
      </c>
      <c r="S57" t="s">
        <v>73</v>
      </c>
    </row>
    <row r="58" spans="15:19" x14ac:dyDescent="0.25">
      <c r="O58" t="s">
        <v>56</v>
      </c>
      <c r="P58" s="45">
        <v>200</v>
      </c>
      <c r="Q58" t="s">
        <v>64</v>
      </c>
      <c r="R58" s="44">
        <v>45412</v>
      </c>
      <c r="S58" t="s">
        <v>73</v>
      </c>
    </row>
    <row r="59" spans="15:19" x14ac:dyDescent="0.25">
      <c r="O59" t="s">
        <v>57</v>
      </c>
      <c r="P59" s="45">
        <v>0</v>
      </c>
      <c r="Q59" t="s">
        <v>64</v>
      </c>
      <c r="R59" s="44">
        <v>45412</v>
      </c>
      <c r="S59" t="s">
        <v>73</v>
      </c>
    </row>
    <row r="60" spans="15:19" x14ac:dyDescent="0.25">
      <c r="O60" t="s">
        <v>58</v>
      </c>
      <c r="P60" s="45">
        <v>6000</v>
      </c>
      <c r="Q60" t="s">
        <v>64</v>
      </c>
      <c r="R60" s="44">
        <v>45412</v>
      </c>
      <c r="S60" t="s">
        <v>73</v>
      </c>
    </row>
    <row r="61" spans="15:19" x14ac:dyDescent="0.25">
      <c r="O61" t="s">
        <v>59</v>
      </c>
      <c r="P61" s="45">
        <v>500</v>
      </c>
      <c r="Q61" t="s">
        <v>64</v>
      </c>
      <c r="R61" s="44">
        <v>45412</v>
      </c>
      <c r="S61" t="s">
        <v>73</v>
      </c>
    </row>
    <row r="62" spans="15:19" x14ac:dyDescent="0.25">
      <c r="O62" t="s">
        <v>60</v>
      </c>
      <c r="P62" s="45">
        <v>30000</v>
      </c>
      <c r="Q62" t="s">
        <v>64</v>
      </c>
      <c r="R62" s="44">
        <v>45412</v>
      </c>
      <c r="S62" t="s">
        <v>73</v>
      </c>
    </row>
    <row r="63" spans="15:19" x14ac:dyDescent="0.25">
      <c r="O63" t="s">
        <v>61</v>
      </c>
      <c r="P63" s="45">
        <v>0</v>
      </c>
      <c r="Q63" t="s">
        <v>64</v>
      </c>
      <c r="R63" s="44">
        <v>45412</v>
      </c>
      <c r="S63" t="s">
        <v>73</v>
      </c>
    </row>
    <row r="64" spans="15:19" x14ac:dyDescent="0.25">
      <c r="O64" t="s">
        <v>62</v>
      </c>
      <c r="P64" s="45">
        <v>36888</v>
      </c>
      <c r="Q64" t="s">
        <v>64</v>
      </c>
      <c r="R64" s="44">
        <v>45412</v>
      </c>
      <c r="S64" t="s">
        <v>62</v>
      </c>
    </row>
    <row r="65" spans="15:19" x14ac:dyDescent="0.25">
      <c r="O65" t="s">
        <v>63</v>
      </c>
      <c r="P65" s="45">
        <v>49912</v>
      </c>
      <c r="Q65" t="s">
        <v>64</v>
      </c>
      <c r="R65" s="44">
        <v>45412</v>
      </c>
      <c r="S65" t="s">
        <v>63</v>
      </c>
    </row>
    <row r="66" spans="15:19" x14ac:dyDescent="0.25">
      <c r="O66" t="s">
        <v>47</v>
      </c>
      <c r="P66" s="45">
        <v>40000</v>
      </c>
      <c r="Q66" t="s">
        <v>64</v>
      </c>
      <c r="R66" s="44">
        <v>45443</v>
      </c>
      <c r="S66" t="s">
        <v>71</v>
      </c>
    </row>
    <row r="67" spans="15:19" x14ac:dyDescent="0.25">
      <c r="O67" t="s">
        <v>48</v>
      </c>
      <c r="P67" s="45">
        <v>7000</v>
      </c>
      <c r="Q67" t="s">
        <v>64</v>
      </c>
      <c r="R67" s="44">
        <v>45443</v>
      </c>
      <c r="S67" t="s">
        <v>71</v>
      </c>
    </row>
    <row r="68" spans="15:19" x14ac:dyDescent="0.25">
      <c r="O68" t="s">
        <v>49</v>
      </c>
      <c r="P68" s="45">
        <v>2500</v>
      </c>
      <c r="Q68" t="s">
        <v>64</v>
      </c>
      <c r="R68" s="44">
        <v>45443</v>
      </c>
      <c r="S68" t="s">
        <v>71</v>
      </c>
    </row>
    <row r="69" spans="15:19" x14ac:dyDescent="0.25">
      <c r="O69" t="s">
        <v>50</v>
      </c>
      <c r="P69" s="45">
        <v>49500</v>
      </c>
      <c r="Q69" t="s">
        <v>64</v>
      </c>
      <c r="R69" s="44">
        <v>45443</v>
      </c>
      <c r="S69" t="s">
        <v>50</v>
      </c>
    </row>
    <row r="70" spans="15:19" x14ac:dyDescent="0.25">
      <c r="O70" t="s">
        <v>51</v>
      </c>
      <c r="P70" s="45">
        <v>300</v>
      </c>
      <c r="Q70" t="s">
        <v>64</v>
      </c>
      <c r="R70" s="44">
        <v>45443</v>
      </c>
      <c r="S70" t="s">
        <v>72</v>
      </c>
    </row>
    <row r="71" spans="15:19" x14ac:dyDescent="0.25">
      <c r="O71" t="s">
        <v>52</v>
      </c>
      <c r="P71" s="45">
        <v>300</v>
      </c>
      <c r="Q71" t="s">
        <v>64</v>
      </c>
      <c r="R71" s="44">
        <v>45443</v>
      </c>
      <c r="S71" t="s">
        <v>52</v>
      </c>
    </row>
    <row r="72" spans="15:19" x14ac:dyDescent="0.25">
      <c r="O72" t="s">
        <v>53</v>
      </c>
      <c r="P72" s="45">
        <v>49200</v>
      </c>
      <c r="Q72" t="s">
        <v>64</v>
      </c>
      <c r="R72" s="44">
        <v>45443</v>
      </c>
      <c r="S72" t="s">
        <v>53</v>
      </c>
    </row>
    <row r="73" spans="15:19" x14ac:dyDescent="0.25">
      <c r="O73" t="s">
        <v>54</v>
      </c>
      <c r="P73" s="45">
        <v>63</v>
      </c>
      <c r="Q73" t="s">
        <v>64</v>
      </c>
      <c r="R73" s="44">
        <v>45443</v>
      </c>
      <c r="S73" t="s">
        <v>73</v>
      </c>
    </row>
    <row r="74" spans="15:19" x14ac:dyDescent="0.25">
      <c r="O74" t="s">
        <v>55</v>
      </c>
      <c r="P74" s="45">
        <v>175</v>
      </c>
      <c r="Q74" t="s">
        <v>64</v>
      </c>
      <c r="R74" s="44">
        <v>45443</v>
      </c>
      <c r="S74" t="s">
        <v>73</v>
      </c>
    </row>
    <row r="75" spans="15:19" x14ac:dyDescent="0.25">
      <c r="O75" t="s">
        <v>56</v>
      </c>
      <c r="P75" s="45">
        <v>400</v>
      </c>
      <c r="Q75" t="s">
        <v>64</v>
      </c>
      <c r="R75" s="44">
        <v>45443</v>
      </c>
      <c r="S75" t="s">
        <v>73</v>
      </c>
    </row>
    <row r="76" spans="15:19" x14ac:dyDescent="0.25">
      <c r="O76" t="s">
        <v>57</v>
      </c>
      <c r="P76" s="45">
        <v>0</v>
      </c>
      <c r="Q76" t="s">
        <v>64</v>
      </c>
      <c r="R76" s="44">
        <v>45443</v>
      </c>
      <c r="S76" t="s">
        <v>73</v>
      </c>
    </row>
    <row r="77" spans="15:19" x14ac:dyDescent="0.25">
      <c r="O77" t="s">
        <v>58</v>
      </c>
      <c r="P77" s="45">
        <v>3000</v>
      </c>
      <c r="Q77" t="s">
        <v>64</v>
      </c>
      <c r="R77" s="44">
        <v>45443</v>
      </c>
      <c r="S77" t="s">
        <v>73</v>
      </c>
    </row>
    <row r="78" spans="15:19" x14ac:dyDescent="0.25">
      <c r="O78" t="s">
        <v>59</v>
      </c>
      <c r="P78" s="45">
        <v>500</v>
      </c>
      <c r="Q78" t="s">
        <v>64</v>
      </c>
      <c r="R78" s="44">
        <v>45443</v>
      </c>
      <c r="S78" t="s">
        <v>73</v>
      </c>
    </row>
    <row r="79" spans="15:19" x14ac:dyDescent="0.25">
      <c r="O79" t="s">
        <v>60</v>
      </c>
      <c r="P79" s="45">
        <v>25000</v>
      </c>
      <c r="Q79" t="s">
        <v>64</v>
      </c>
      <c r="R79" s="44">
        <v>45443</v>
      </c>
      <c r="S79" t="s">
        <v>73</v>
      </c>
    </row>
    <row r="80" spans="15:19" x14ac:dyDescent="0.25">
      <c r="O80" t="s">
        <v>61</v>
      </c>
      <c r="P80" s="45">
        <v>0</v>
      </c>
      <c r="Q80" t="s">
        <v>64</v>
      </c>
      <c r="R80" s="44">
        <v>45443</v>
      </c>
      <c r="S80" t="s">
        <v>73</v>
      </c>
    </row>
    <row r="81" spans="15:19" x14ac:dyDescent="0.25">
      <c r="O81" t="s">
        <v>62</v>
      </c>
      <c r="P81" s="45">
        <v>29138</v>
      </c>
      <c r="Q81" t="s">
        <v>64</v>
      </c>
      <c r="R81" s="44">
        <v>45443</v>
      </c>
      <c r="S81" t="s">
        <v>62</v>
      </c>
    </row>
    <row r="82" spans="15:19" x14ac:dyDescent="0.25">
      <c r="O82" t="s">
        <v>63</v>
      </c>
      <c r="P82" s="45">
        <v>20062</v>
      </c>
      <c r="Q82" t="s">
        <v>64</v>
      </c>
      <c r="R82" s="44">
        <v>45443</v>
      </c>
      <c r="S82" t="s">
        <v>63</v>
      </c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E831E-E365-44CD-8A0A-D996A4687B2E}">
  <sheetPr codeName="Sheet2">
    <tabColor rgb="FFC0BFBF"/>
  </sheetPr>
  <dimension ref="K10:M26"/>
  <sheetViews>
    <sheetView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K14" sqref="K14"/>
    </sheetView>
  </sheetViews>
  <sheetFormatPr defaultRowHeight="10.3" x14ac:dyDescent="0.25"/>
  <cols>
    <col min="11" max="11" width="30.81640625" customWidth="1"/>
    <col min="12" max="12" width="10.26953125" customWidth="1"/>
    <col min="13" max="13" width="1.81640625" customWidth="1"/>
  </cols>
  <sheetData>
    <row r="10" spans="11:13" ht="10.75" thickBot="1" x14ac:dyDescent="0.3"/>
    <row r="11" spans="11:13" ht="15.45" x14ac:dyDescent="0.25">
      <c r="K11" s="47" t="s">
        <v>75</v>
      </c>
      <c r="L11" s="48"/>
      <c r="M11" s="49"/>
    </row>
    <row r="12" spans="11:13" ht="15.45" x14ac:dyDescent="0.25">
      <c r="K12" s="50"/>
      <c r="L12" s="51"/>
      <c r="M12" s="52"/>
    </row>
    <row r="13" spans="11:13" ht="12.45" x14ac:dyDescent="0.25">
      <c r="K13" s="53"/>
      <c r="L13" s="51"/>
      <c r="M13" s="52"/>
    </row>
    <row r="14" spans="11:13" ht="10.75" thickBot="1" x14ac:dyDescent="0.3">
      <c r="K14" s="54" t="s">
        <v>65</v>
      </c>
      <c r="L14" s="55" t="s">
        <v>74</v>
      </c>
      <c r="M14" s="56" t="s">
        <v>70</v>
      </c>
    </row>
    <row r="15" spans="11:13" x14ac:dyDescent="0.25">
      <c r="K15" t="s">
        <v>47</v>
      </c>
      <c r="L15" t="s">
        <v>71</v>
      </c>
    </row>
    <row r="16" spans="11:13" x14ac:dyDescent="0.25">
      <c r="K16" t="s">
        <v>48</v>
      </c>
      <c r="L16" t="s">
        <v>71</v>
      </c>
    </row>
    <row r="17" spans="11:12" x14ac:dyDescent="0.25">
      <c r="K17" t="s">
        <v>49</v>
      </c>
      <c r="L17" t="s">
        <v>71</v>
      </c>
    </row>
    <row r="18" spans="11:12" x14ac:dyDescent="0.25">
      <c r="K18" t="s">
        <v>51</v>
      </c>
      <c r="L18" t="s">
        <v>72</v>
      </c>
    </row>
    <row r="19" spans="11:12" x14ac:dyDescent="0.25">
      <c r="K19" t="s">
        <v>54</v>
      </c>
      <c r="L19" t="s">
        <v>73</v>
      </c>
    </row>
    <row r="20" spans="11:12" x14ac:dyDescent="0.25">
      <c r="K20" t="s">
        <v>55</v>
      </c>
      <c r="L20" t="s">
        <v>73</v>
      </c>
    </row>
    <row r="21" spans="11:12" x14ac:dyDescent="0.25">
      <c r="K21" t="s">
        <v>56</v>
      </c>
      <c r="L21" t="s">
        <v>73</v>
      </c>
    </row>
    <row r="22" spans="11:12" x14ac:dyDescent="0.25">
      <c r="K22" t="s">
        <v>57</v>
      </c>
      <c r="L22" t="s">
        <v>73</v>
      </c>
    </row>
    <row r="23" spans="11:12" x14ac:dyDescent="0.25">
      <c r="K23" t="s">
        <v>58</v>
      </c>
      <c r="L23" t="s">
        <v>73</v>
      </c>
    </row>
    <row r="24" spans="11:12" x14ac:dyDescent="0.25">
      <c r="K24" t="s">
        <v>59</v>
      </c>
      <c r="L24" t="s">
        <v>73</v>
      </c>
    </row>
    <row r="25" spans="11:12" x14ac:dyDescent="0.25">
      <c r="K25" t="s">
        <v>60</v>
      </c>
      <c r="L25" t="s">
        <v>73</v>
      </c>
    </row>
    <row r="26" spans="11:12" x14ac:dyDescent="0.25">
      <c r="K26" t="s">
        <v>61</v>
      </c>
      <c r="L26" t="s">
        <v>73</v>
      </c>
    </row>
  </sheetData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28880-8A15-4A46-9615-045C696275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Guide</vt:lpstr>
      <vt:lpstr>Params</vt:lpstr>
      <vt:lpstr>rAnalysis</vt:lpstr>
      <vt:lpstr>AppendedFiles</vt:lpstr>
      <vt:lpstr>dMap</vt:lpstr>
      <vt:lpstr>afbGuide</vt:lpstr>
      <vt:lpstr>afbParams</vt:lpstr>
      <vt:lpstr>AppendedFiles!afbSheet</vt:lpstr>
      <vt:lpstr>dMap!afbSheet</vt:lpstr>
      <vt:lpstr>rAnalysis!afbSheet</vt:lpstr>
      <vt:lpstr>gAppDescription</vt:lpstr>
      <vt:lpstr>gCreator</vt:lpstr>
      <vt:lpstr>gProcedures</vt:lpstr>
      <vt:lpstr>gPurpose</vt:lpstr>
      <vt:lpstr>kAppFilePrefix</vt:lpstr>
      <vt:lpstr>kAppName</vt:lpstr>
      <vt:lpstr>kCrosscheckMsg</vt:lpstr>
      <vt:lpstr>kCrosscheckTolerance</vt:lpstr>
      <vt:lpstr>kFilesPath</vt:lpstr>
      <vt:lpstr>kNow</vt:lpstr>
      <vt:lpstr>kOrgName</vt:lpstr>
      <vt:lpstr>kVersion</vt:lpstr>
      <vt:lpstr>rAnalysis!parSheet</vt:lpstr>
      <vt:lpstr>AppendedFiles!Print_Area</vt:lpstr>
      <vt:lpstr>dMap!Print_Area</vt:lpstr>
      <vt:lpstr>rAnalysis!Print_Area</vt:lpstr>
      <vt:lpstr>AppendedFiles!Print_Titles</vt:lpstr>
      <vt:lpstr>dMap!Print_Titles</vt:lpstr>
      <vt:lpstr>Guide!Print_Titles</vt:lpstr>
      <vt:lpstr>Params!Print_Titles</vt:lpstr>
      <vt:lpstr>rAnalysis!Print_Titles</vt:lpstr>
      <vt:lpstr>AppendedFiles!ttSheet</vt:lpstr>
      <vt:lpstr>dMap!ttSheet</vt:lpstr>
      <vt:lpstr>Guide!ttSheet</vt:lpstr>
      <vt:lpstr>Params!ttSheet</vt:lpstr>
      <vt:lpstr>rAnalysis!ttSheet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Oulton</dc:creator>
  <cp:lastModifiedBy>Paul Oulton</cp:lastModifiedBy>
  <cp:lastPrinted>2005-10-20T08:44:37Z</cp:lastPrinted>
  <dcterms:created xsi:type="dcterms:W3CDTF">1997-09-04T02:48:07Z</dcterms:created>
  <dcterms:modified xsi:type="dcterms:W3CDTF">2024-04-26T08:04:40Z</dcterms:modified>
</cp:coreProperties>
</file>